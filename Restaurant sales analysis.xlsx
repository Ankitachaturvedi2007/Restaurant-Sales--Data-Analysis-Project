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\Desktop\projects\restaurant data analysis\"/>
    </mc:Choice>
  </mc:AlternateContent>
  <xr:revisionPtr revIDLastSave="0" documentId="13_ncr:1_{61C82F62-9B6A-425E-A73B-5A12A54FF119}" xr6:coauthVersionLast="47" xr6:coauthVersionMax="47" xr10:uidLastSave="{00000000-0000-0000-0000-000000000000}"/>
  <bookViews>
    <workbookView xWindow="-108" yWindow="-108" windowWidth="23256" windowHeight="12456" firstSheet="1" activeTab="5" xr2:uid="{E27A0DF0-4676-4D01-9CED-A0D3A30D0E2F}"/>
  </bookViews>
  <sheets>
    <sheet name="menu_items" sheetId="2" r:id="rId1"/>
    <sheet name="orders_details" sheetId="1" r:id="rId2"/>
    <sheet name="sales analysis" sheetId="3" r:id="rId3"/>
    <sheet name="top 10 selling products" sheetId="5" r:id="rId4"/>
    <sheet name="total revenue" sheetId="6" r:id="rId5"/>
    <sheet name="orders placed" sheetId="7" r:id="rId6"/>
    <sheet name="top 10 revenue generated" sheetId="8" r:id="rId7"/>
    <sheet name="revenue  by category" sheetId="9" r:id="rId8"/>
    <sheet name="monthly revenue trend" sheetId="10" r:id="rId9"/>
    <sheet name="orders by day" sheetId="11" r:id="rId10"/>
  </sheets>
  <calcPr calcId="191029"/>
  <pivotCaches>
    <pivotCache cacheId="0" r:id="rId11"/>
  </pivotCaches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3" i="3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H123" i="3"/>
  <c r="I123" i="3" s="1"/>
  <c r="H3" i="3"/>
  <c r="I3" i="3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3" i="3"/>
</calcChain>
</file>

<file path=xl/sharedStrings.xml><?xml version="1.0" encoding="utf-8"?>
<sst xmlns="http://schemas.openxmlformats.org/spreadsheetml/2006/main" count="435" uniqueCount="82">
  <si>
    <t>Order details id</t>
  </si>
  <si>
    <t>Order id</t>
  </si>
  <si>
    <t>Order date</t>
  </si>
  <si>
    <t>Order time</t>
  </si>
  <si>
    <t>Item_id</t>
  </si>
  <si>
    <t>Items name</t>
  </si>
  <si>
    <t>Category</t>
  </si>
  <si>
    <t>Price</t>
  </si>
  <si>
    <t>Revenue</t>
  </si>
  <si>
    <t>Month</t>
  </si>
  <si>
    <t>Day</t>
  </si>
  <si>
    <t>Hour</t>
  </si>
  <si>
    <t>Korean Beef Bowl</t>
  </si>
  <si>
    <t>Asian</t>
  </si>
  <si>
    <t>Tofu Pad Thai</t>
  </si>
  <si>
    <t>Spaghetti</t>
  </si>
  <si>
    <t>Chicken Burrito</t>
  </si>
  <si>
    <t>Mushroom Ravioli</t>
  </si>
  <si>
    <t>French Fries</t>
  </si>
  <si>
    <t>Chicken Torta</t>
  </si>
  <si>
    <t>Hamburger</t>
  </si>
  <si>
    <t>Potstickers</t>
  </si>
  <si>
    <t>Chips &amp; Guacamole</t>
  </si>
  <si>
    <t>Fettuccine Alfredo</t>
  </si>
  <si>
    <t>Pork Ramen</t>
  </si>
  <si>
    <t>Chips &amp; Salsa</t>
  </si>
  <si>
    <t>Shrimp Scampi</t>
  </si>
  <si>
    <t>Eggplant Parmesan</t>
  </si>
  <si>
    <t>Mac &amp; Cheese</t>
  </si>
  <si>
    <t>Cheeseburger</t>
  </si>
  <si>
    <t>Edamame</t>
  </si>
  <si>
    <t>Veggie Burger</t>
  </si>
  <si>
    <t>Orange Chicken</t>
  </si>
  <si>
    <t>Cheese Quesadillas</t>
  </si>
  <si>
    <t>Spaghetti &amp; Meatballs</t>
  </si>
  <si>
    <t>California Roll</t>
  </si>
  <si>
    <t>Steak Tacos</t>
  </si>
  <si>
    <t>Meat Lasagna</t>
  </si>
  <si>
    <t>Cheese Lasagna</t>
  </si>
  <si>
    <t>Steak Burrito</t>
  </si>
  <si>
    <t>Chicken Parmesan</t>
  </si>
  <si>
    <t>Steak Torta</t>
  </si>
  <si>
    <t>Hot Dog</t>
  </si>
  <si>
    <t>Salmon Roll</t>
  </si>
  <si>
    <t>Italian</t>
  </si>
  <si>
    <t>Mexican</t>
  </si>
  <si>
    <t>Chicken Tacos</t>
  </si>
  <si>
    <t>American</t>
  </si>
  <si>
    <t>price</t>
  </si>
  <si>
    <t>category</t>
  </si>
  <si>
    <t>item_name</t>
  </si>
  <si>
    <t>menu_item_id</t>
  </si>
  <si>
    <t>Row Labels</t>
  </si>
  <si>
    <t>Grand Total</t>
  </si>
  <si>
    <t>Count of Items name</t>
  </si>
  <si>
    <t>Business question 2</t>
  </si>
  <si>
    <t xml:space="preserve"> what is the total revenue generated?</t>
  </si>
  <si>
    <t>Sum of Revenue</t>
  </si>
  <si>
    <t>Business question 1</t>
  </si>
  <si>
    <t>What are the top 10 selling products?</t>
  </si>
  <si>
    <t>Business question 3</t>
  </si>
  <si>
    <t>How many total orders were placed?</t>
  </si>
  <si>
    <t>Business question 4</t>
  </si>
  <si>
    <t>which top 10 revenue generated product?</t>
  </si>
  <si>
    <t>Business question 5</t>
  </si>
  <si>
    <t>Business question 6</t>
  </si>
  <si>
    <t>How does revenue vary by month?</t>
  </si>
  <si>
    <t>Jan</t>
  </si>
  <si>
    <t>Feb</t>
  </si>
  <si>
    <t>Mar</t>
  </si>
  <si>
    <t>Apr</t>
  </si>
  <si>
    <t>May</t>
  </si>
  <si>
    <t>Business question 7</t>
  </si>
  <si>
    <t>Sunday</t>
  </si>
  <si>
    <t>Monday</t>
  </si>
  <si>
    <t>Tuesday</t>
  </si>
  <si>
    <t>Wednesday</t>
  </si>
  <si>
    <t>Thursday</t>
  </si>
  <si>
    <t>Friday</t>
  </si>
  <si>
    <t>Saturday</t>
  </si>
  <si>
    <t>Numbers of orders by day of the week?</t>
  </si>
  <si>
    <t>how much revenue was generated by each category?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</si>
</sst>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33" borderId="0" xfId="0" applyFont="1" applyFill="1"/>
    <xf numFmtId="0" fontId="21" fillId="35" borderId="0" xfId="0" applyFont="1" applyFill="1"/>
    <xf numFmtId="0" fontId="22" fillId="33" borderId="0" xfId="0" applyFont="1" applyFill="1"/>
    <xf numFmtId="0" fontId="23" fillId="0" borderId="0" xfId="0" applyFont="1"/>
    <xf numFmtId="0" fontId="21" fillId="33" borderId="0" xfId="0" applyFont="1" applyFill="1"/>
    <xf numFmtId="0" fontId="24" fillId="33" borderId="0" xfId="0" applyFont="1" applyFill="1"/>
    <xf numFmtId="0" fontId="21" fillId="35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0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sz val="12"/>
      </font>
    </dxf>
    <dxf>
      <font>
        <sz val="10"/>
      </font>
    </dxf>
    <dxf>
      <numFmt numFmtId="164" formatCode="[$-F400]h:mm:ss\ AM/PM"/>
    </dxf>
    <dxf>
      <numFmt numFmtId="19" formatCode="dd/mm/yy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6229.703384953704" createdVersion="8" refreshedVersion="8" minRefreshableVersion="3" recordCount="121" xr:uid="{AD6D0D5D-5A22-438F-80CA-5E2F8293E4F3}">
  <cacheSource type="worksheet">
    <worksheetSource name="Table2"/>
  </cacheSource>
  <cacheFields count="12">
    <cacheField name="Order details id" numFmtId="0">
      <sharedItems containsSemiMixedTypes="0" containsString="0" containsNumber="1" containsInteger="1" minValue="1" maxValue="121"/>
    </cacheField>
    <cacheField name="Order id" numFmtId="0">
      <sharedItems containsSemiMixedTypes="0" containsString="0" containsNumber="1" containsInteger="1" minValue="1" maxValue="49"/>
    </cacheField>
    <cacheField name="Order date" numFmtId="14">
      <sharedItems containsSemiMixedTypes="0" containsNonDate="0" containsDate="1" containsString="0" minDate="2023-01-01T00:00:00" maxDate="2023-05-02T00:00:00"/>
    </cacheField>
    <cacheField name="Order time" numFmtId="164">
      <sharedItems containsSemiMixedTypes="0" containsNonDate="0" containsDate="1" containsString="0" minDate="1899-12-30T11:38:36" maxDate="1899-12-30T18:33:00"/>
    </cacheField>
    <cacheField name="Item_id" numFmtId="0">
      <sharedItems containsSemiMixedTypes="0" containsString="0" containsNumber="1" containsInteger="1" minValue="101" maxValue="132"/>
    </cacheField>
    <cacheField name="Items name" numFmtId="0">
      <sharedItems count="31"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</sharedItems>
    </cacheField>
    <cacheField name="Category" numFmtId="0">
      <sharedItems count="4">
        <s v="Asian"/>
        <s v="Italian"/>
        <s v="Mexican"/>
        <s v="American"/>
      </sharedItems>
    </cacheField>
    <cacheField name="Price" numFmtId="0">
      <sharedItems containsSemiMixedTypes="0" containsString="0" containsNumber="1" minValue="5" maxValue="19.95"/>
    </cacheField>
    <cacheField name="Revenue" numFmtId="0">
      <sharedItems containsSemiMixedTypes="0" containsString="0" containsNumber="1" minValue="5" maxValue="19.95" count="14">
        <n v="17.95"/>
        <n v="14.5"/>
        <n v="12.95"/>
        <n v="15.5"/>
        <n v="7"/>
        <n v="11.95"/>
        <n v="9"/>
        <n v="19.95"/>
        <n v="16.95"/>
        <n v="13.95"/>
        <n v="5"/>
        <n v="10.5"/>
        <n v="16.5"/>
        <n v="14.95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Hour" numFmtId="0">
      <sharedItems containsSemiMixedTypes="0" containsString="0" containsNumber="1" containsInteger="1" minValue="1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1"/>
    <n v="1"/>
    <d v="2023-01-01T00:00:00"/>
    <d v="1899-12-30T11:38:36"/>
    <n v="109"/>
    <x v="0"/>
    <x v="0"/>
    <n v="17.95"/>
    <x v="0"/>
    <x v="0"/>
    <x v="0"/>
    <n v="11"/>
  </r>
  <r>
    <n v="2"/>
    <n v="2"/>
    <d v="2023-01-02T00:00:00"/>
    <d v="1899-12-30T11:57:40"/>
    <n v="108"/>
    <x v="1"/>
    <x v="0"/>
    <n v="14.5"/>
    <x v="1"/>
    <x v="0"/>
    <x v="1"/>
    <n v="11"/>
  </r>
  <r>
    <n v="3"/>
    <n v="2"/>
    <d v="2023-01-03T00:00:00"/>
    <d v="1899-12-30T11:57:40"/>
    <n v="124"/>
    <x v="2"/>
    <x v="1"/>
    <n v="14.5"/>
    <x v="1"/>
    <x v="0"/>
    <x v="2"/>
    <n v="11"/>
  </r>
  <r>
    <n v="4"/>
    <n v="2"/>
    <d v="2023-01-04T00:00:00"/>
    <d v="1899-12-30T11:57:40"/>
    <n v="117"/>
    <x v="3"/>
    <x v="2"/>
    <n v="12.95"/>
    <x v="2"/>
    <x v="0"/>
    <x v="3"/>
    <n v="11"/>
  </r>
  <r>
    <n v="5"/>
    <n v="2"/>
    <d v="2023-01-05T00:00:00"/>
    <d v="1899-12-30T11:57:40"/>
    <n v="129"/>
    <x v="4"/>
    <x v="1"/>
    <n v="15.5"/>
    <x v="3"/>
    <x v="0"/>
    <x v="4"/>
    <n v="11"/>
  </r>
  <r>
    <n v="6"/>
    <n v="2"/>
    <d v="2023-01-06T00:00:00"/>
    <d v="1899-12-30T11:57:40"/>
    <n v="106"/>
    <x v="5"/>
    <x v="3"/>
    <n v="7"/>
    <x v="4"/>
    <x v="0"/>
    <x v="5"/>
    <n v="11"/>
  </r>
  <r>
    <n v="7"/>
    <n v="3"/>
    <d v="2023-01-07T00:00:00"/>
    <d v="1899-12-30T12:12:28"/>
    <n v="117"/>
    <x v="3"/>
    <x v="2"/>
    <n v="12.95"/>
    <x v="2"/>
    <x v="0"/>
    <x v="6"/>
    <n v="12"/>
  </r>
  <r>
    <n v="8"/>
    <n v="3"/>
    <d v="2023-01-08T00:00:00"/>
    <d v="1899-12-30T12:12:28"/>
    <n v="119"/>
    <x v="6"/>
    <x v="2"/>
    <n v="11.95"/>
    <x v="5"/>
    <x v="0"/>
    <x v="0"/>
    <n v="12"/>
  </r>
  <r>
    <n v="9"/>
    <n v="4"/>
    <d v="2023-01-09T00:00:00"/>
    <d v="1899-12-30T12:16:31"/>
    <n v="117"/>
    <x v="3"/>
    <x v="2"/>
    <n v="12.95"/>
    <x v="2"/>
    <x v="0"/>
    <x v="1"/>
    <n v="12"/>
  </r>
  <r>
    <n v="10"/>
    <n v="5"/>
    <d v="2023-01-10T00:00:00"/>
    <d v="1899-12-30T12:21:30"/>
    <n v="117"/>
    <x v="3"/>
    <x v="2"/>
    <n v="12.95"/>
    <x v="2"/>
    <x v="0"/>
    <x v="2"/>
    <n v="12"/>
  </r>
  <r>
    <n v="11"/>
    <n v="6"/>
    <d v="2023-01-11T00:00:00"/>
    <d v="1899-12-30T12:29:36"/>
    <n v="101"/>
    <x v="7"/>
    <x v="3"/>
    <n v="12.95"/>
    <x v="2"/>
    <x v="0"/>
    <x v="3"/>
    <n v="12"/>
  </r>
  <r>
    <n v="12"/>
    <n v="6"/>
    <d v="2023-01-12T00:00:00"/>
    <d v="1899-12-30T12:29:36"/>
    <n v="114"/>
    <x v="8"/>
    <x v="0"/>
    <n v="9"/>
    <x v="6"/>
    <x v="0"/>
    <x v="4"/>
    <n v="12"/>
  </r>
  <r>
    <n v="13"/>
    <n v="7"/>
    <d v="2023-01-13T00:00:00"/>
    <d v="1899-12-30T12:50:37"/>
    <n v="123"/>
    <x v="9"/>
    <x v="2"/>
    <n v="9"/>
    <x v="6"/>
    <x v="0"/>
    <x v="5"/>
    <n v="12"/>
  </r>
  <r>
    <n v="14"/>
    <n v="8"/>
    <d v="2023-01-14T00:00:00"/>
    <d v="1899-12-30T12:51:37"/>
    <n v="123"/>
    <x v="9"/>
    <x v="2"/>
    <n v="9"/>
    <x v="6"/>
    <x v="0"/>
    <x v="6"/>
    <n v="12"/>
  </r>
  <r>
    <n v="15"/>
    <n v="9"/>
    <d v="2023-01-15T00:00:00"/>
    <d v="1899-12-30T12:52:01"/>
    <n v="108"/>
    <x v="1"/>
    <x v="0"/>
    <n v="14.5"/>
    <x v="1"/>
    <x v="0"/>
    <x v="0"/>
    <n v="12"/>
  </r>
  <r>
    <n v="16"/>
    <n v="9"/>
    <d v="2023-01-16T00:00:00"/>
    <d v="1899-12-30T12:52:01"/>
    <n v="126"/>
    <x v="10"/>
    <x v="1"/>
    <n v="14.5"/>
    <x v="1"/>
    <x v="0"/>
    <x v="1"/>
    <n v="12"/>
  </r>
  <r>
    <n v="17"/>
    <n v="9"/>
    <d v="2023-01-17T00:00:00"/>
    <d v="1899-12-30T12:52:01"/>
    <n v="110"/>
    <x v="11"/>
    <x v="0"/>
    <n v="17.95"/>
    <x v="0"/>
    <x v="0"/>
    <x v="2"/>
    <n v="12"/>
  </r>
  <r>
    <n v="18"/>
    <n v="9"/>
    <d v="2023-01-18T00:00:00"/>
    <d v="1899-12-30T12:52:01"/>
    <n v="117"/>
    <x v="3"/>
    <x v="2"/>
    <n v="12.95"/>
    <x v="2"/>
    <x v="0"/>
    <x v="3"/>
    <n v="12"/>
  </r>
  <r>
    <n v="19"/>
    <n v="9"/>
    <d v="2023-01-19T00:00:00"/>
    <d v="1899-12-30T12:52:01"/>
    <n v="117"/>
    <x v="3"/>
    <x v="2"/>
    <n v="12.95"/>
    <x v="2"/>
    <x v="0"/>
    <x v="4"/>
    <n v="12"/>
  </r>
  <r>
    <n v="20"/>
    <n v="9"/>
    <d v="2023-01-20T00:00:00"/>
    <d v="1899-12-30T12:52:01"/>
    <n v="129"/>
    <x v="4"/>
    <x v="1"/>
    <n v="15.5"/>
    <x v="3"/>
    <x v="0"/>
    <x v="5"/>
    <n v="12"/>
  </r>
  <r>
    <n v="21"/>
    <n v="9"/>
    <d v="2023-01-21T00:00:00"/>
    <d v="1899-12-30T12:52:01"/>
    <n v="122"/>
    <x v="12"/>
    <x v="2"/>
    <n v="7"/>
    <x v="4"/>
    <x v="0"/>
    <x v="6"/>
    <n v="12"/>
  </r>
  <r>
    <n v="22"/>
    <n v="9"/>
    <d v="2023-01-22T00:00:00"/>
    <d v="1899-12-30T12:52:01"/>
    <n v="130"/>
    <x v="13"/>
    <x v="1"/>
    <n v="19.95"/>
    <x v="7"/>
    <x v="0"/>
    <x v="0"/>
    <n v="12"/>
  </r>
  <r>
    <n v="23"/>
    <n v="9"/>
    <d v="2023-01-23T00:00:00"/>
    <d v="1899-12-30T12:52:01"/>
    <n v="132"/>
    <x v="14"/>
    <x v="1"/>
    <n v="16.95"/>
    <x v="8"/>
    <x v="0"/>
    <x v="1"/>
    <n v="12"/>
  </r>
  <r>
    <n v="24"/>
    <n v="10"/>
    <d v="2023-01-24T00:00:00"/>
    <d v="1899-12-30T13:00:15"/>
    <n v="129"/>
    <x v="4"/>
    <x v="1"/>
    <n v="15.5"/>
    <x v="3"/>
    <x v="0"/>
    <x v="2"/>
    <n v="13"/>
  </r>
  <r>
    <n v="25"/>
    <n v="10"/>
    <d v="2023-01-25T00:00:00"/>
    <d v="1899-12-30T13:00:15"/>
    <n v="105"/>
    <x v="15"/>
    <x v="3"/>
    <n v="7"/>
    <x v="4"/>
    <x v="0"/>
    <x v="3"/>
    <n v="13"/>
  </r>
  <r>
    <n v="26"/>
    <n v="11"/>
    <d v="2023-01-26T00:00:00"/>
    <d v="1899-12-30T13:02:59"/>
    <n v="101"/>
    <x v="7"/>
    <x v="3"/>
    <n v="12.95"/>
    <x v="2"/>
    <x v="0"/>
    <x v="4"/>
    <n v="13"/>
  </r>
  <r>
    <n v="27"/>
    <n v="11"/>
    <d v="2023-01-27T00:00:00"/>
    <d v="1899-12-30T13:02:59"/>
    <n v="102"/>
    <x v="16"/>
    <x v="3"/>
    <n v="13.95"/>
    <x v="9"/>
    <x v="0"/>
    <x v="5"/>
    <n v="13"/>
  </r>
  <r>
    <n v="28"/>
    <n v="11"/>
    <d v="2023-01-28T00:00:00"/>
    <d v="1899-12-30T13:02:59"/>
    <n v="102"/>
    <x v="16"/>
    <x v="3"/>
    <n v="13.95"/>
    <x v="9"/>
    <x v="0"/>
    <x v="6"/>
    <n v="13"/>
  </r>
  <r>
    <n v="29"/>
    <n v="11"/>
    <d v="2023-01-29T00:00:00"/>
    <d v="1899-12-30T13:02:59"/>
    <n v="113"/>
    <x v="17"/>
    <x v="0"/>
    <n v="5"/>
    <x v="10"/>
    <x v="0"/>
    <x v="0"/>
    <n v="13"/>
  </r>
  <r>
    <n v="30"/>
    <n v="12"/>
    <d v="2023-01-30T00:00:00"/>
    <d v="1899-12-30T13:04:41"/>
    <n v="102"/>
    <x v="16"/>
    <x v="3"/>
    <n v="13.95"/>
    <x v="9"/>
    <x v="0"/>
    <x v="1"/>
    <n v="13"/>
  </r>
  <r>
    <n v="31"/>
    <n v="12"/>
    <d v="2023-01-31T00:00:00"/>
    <d v="1899-12-30T13:04:41"/>
    <n v="102"/>
    <x v="16"/>
    <x v="3"/>
    <n v="13.95"/>
    <x v="9"/>
    <x v="0"/>
    <x v="2"/>
    <n v="13"/>
  </r>
  <r>
    <n v="32"/>
    <n v="12"/>
    <d v="2023-02-01T00:00:00"/>
    <d v="1899-12-30T13:04:41"/>
    <n v="104"/>
    <x v="18"/>
    <x v="3"/>
    <n v="10.5"/>
    <x v="11"/>
    <x v="1"/>
    <x v="3"/>
    <n v="13"/>
  </r>
  <r>
    <n v="33"/>
    <n v="12"/>
    <d v="2023-02-02T00:00:00"/>
    <d v="1899-12-30T13:04:41"/>
    <n v="117"/>
    <x v="3"/>
    <x v="2"/>
    <n v="12.95"/>
    <x v="2"/>
    <x v="1"/>
    <x v="4"/>
    <n v="13"/>
  </r>
  <r>
    <n v="34"/>
    <n v="13"/>
    <d v="2023-02-03T00:00:00"/>
    <d v="1899-12-30T13:11:55"/>
    <n v="129"/>
    <x v="4"/>
    <x v="1"/>
    <n v="15.5"/>
    <x v="3"/>
    <x v="1"/>
    <x v="5"/>
    <n v="13"/>
  </r>
  <r>
    <n v="35"/>
    <n v="14"/>
    <d v="2023-02-04T00:00:00"/>
    <d v="1899-12-30T13:14:19"/>
    <n v="114"/>
    <x v="8"/>
    <x v="0"/>
    <n v="9"/>
    <x v="6"/>
    <x v="1"/>
    <x v="6"/>
    <n v="13"/>
  </r>
  <r>
    <n v="36"/>
    <n v="15"/>
    <d v="2023-02-05T00:00:00"/>
    <d v="1899-12-30T13:33:00"/>
    <n v="107"/>
    <x v="19"/>
    <x v="0"/>
    <n v="16.5"/>
    <x v="12"/>
    <x v="1"/>
    <x v="0"/>
    <n v="13"/>
  </r>
  <r>
    <n v="37"/>
    <n v="15"/>
    <d v="2023-02-06T00:00:00"/>
    <d v="1899-12-30T13:33:00"/>
    <n v="124"/>
    <x v="2"/>
    <x v="1"/>
    <n v="14.5"/>
    <x v="1"/>
    <x v="1"/>
    <x v="1"/>
    <n v="13"/>
  </r>
  <r>
    <n v="38"/>
    <n v="15"/>
    <d v="2023-02-07T00:00:00"/>
    <d v="1899-12-30T13:33:00"/>
    <n v="121"/>
    <x v="20"/>
    <x v="2"/>
    <n v="10.5"/>
    <x v="11"/>
    <x v="1"/>
    <x v="2"/>
    <n v="13"/>
  </r>
  <r>
    <n v="39"/>
    <n v="15"/>
    <d v="2023-02-08T00:00:00"/>
    <d v="1899-12-30T13:33:00"/>
    <n v="114"/>
    <x v="8"/>
    <x v="0"/>
    <n v="9"/>
    <x v="6"/>
    <x v="1"/>
    <x v="3"/>
    <n v="13"/>
  </r>
  <r>
    <n v="40"/>
    <n v="16"/>
    <d v="2023-02-09T00:00:00"/>
    <d v="1899-12-30T13:34:07"/>
    <n v="125"/>
    <x v="21"/>
    <x v="1"/>
    <n v="17.95"/>
    <x v="0"/>
    <x v="1"/>
    <x v="4"/>
    <n v="13"/>
  </r>
  <r>
    <n v="41"/>
    <n v="16"/>
    <d v="2023-02-10T00:00:00"/>
    <d v="1899-12-30T13:34:07"/>
    <n v="111"/>
    <x v="22"/>
    <x v="0"/>
    <n v="11.95"/>
    <x v="5"/>
    <x v="1"/>
    <x v="5"/>
    <n v="13"/>
  </r>
  <r>
    <n v="42"/>
    <n v="16"/>
    <d v="2023-02-11T00:00:00"/>
    <d v="1899-12-30T13:34:07"/>
    <n v="106"/>
    <x v="5"/>
    <x v="3"/>
    <n v="7"/>
    <x v="4"/>
    <x v="1"/>
    <x v="6"/>
    <n v="13"/>
  </r>
  <r>
    <n v="43"/>
    <n v="17"/>
    <d v="2023-02-12T00:00:00"/>
    <d v="1899-12-30T13:53:00"/>
    <n v="101"/>
    <x v="7"/>
    <x v="3"/>
    <n v="12.95"/>
    <x v="2"/>
    <x v="1"/>
    <x v="0"/>
    <n v="13"/>
  </r>
  <r>
    <n v="44"/>
    <n v="17"/>
    <d v="2023-02-13T00:00:00"/>
    <d v="1899-12-30T13:53:00"/>
    <n v="116"/>
    <x v="23"/>
    <x v="2"/>
    <n v="13.95"/>
    <x v="9"/>
    <x v="1"/>
    <x v="1"/>
    <n v="13"/>
  </r>
  <r>
    <n v="45"/>
    <n v="17"/>
    <d v="2023-02-14T00:00:00"/>
    <d v="1899-12-30T13:53:00"/>
    <n v="124"/>
    <x v="2"/>
    <x v="1"/>
    <n v="14.5"/>
    <x v="1"/>
    <x v="1"/>
    <x v="2"/>
    <n v="13"/>
  </r>
  <r>
    <n v="46"/>
    <n v="17"/>
    <d v="2023-02-15T00:00:00"/>
    <d v="1899-12-30T13:53:00"/>
    <n v="125"/>
    <x v="21"/>
    <x v="1"/>
    <n v="17.95"/>
    <x v="0"/>
    <x v="1"/>
    <x v="3"/>
    <n v="13"/>
  </r>
  <r>
    <n v="47"/>
    <n v="17"/>
    <d v="2023-02-16T00:00:00"/>
    <d v="1899-12-30T13:53:00"/>
    <n v="117"/>
    <x v="3"/>
    <x v="2"/>
    <n v="12.95"/>
    <x v="2"/>
    <x v="1"/>
    <x v="4"/>
    <n v="13"/>
  </r>
  <r>
    <n v="48"/>
    <n v="17"/>
    <d v="2023-02-17T00:00:00"/>
    <d v="1899-12-30T13:53:00"/>
    <n v="127"/>
    <x v="24"/>
    <x v="1"/>
    <n v="17.95"/>
    <x v="0"/>
    <x v="1"/>
    <x v="5"/>
    <n v="13"/>
  </r>
  <r>
    <n v="49"/>
    <n v="17"/>
    <d v="2023-02-18T00:00:00"/>
    <d v="1899-12-30T13:53:00"/>
    <n v="128"/>
    <x v="25"/>
    <x v="1"/>
    <n v="15.5"/>
    <x v="3"/>
    <x v="1"/>
    <x v="6"/>
    <n v="13"/>
  </r>
  <r>
    <n v="50"/>
    <n v="17"/>
    <d v="2023-02-19T00:00:00"/>
    <d v="1899-12-30T13:53:00"/>
    <n v="129"/>
    <x v="4"/>
    <x v="1"/>
    <n v="15.5"/>
    <x v="3"/>
    <x v="1"/>
    <x v="0"/>
    <n v="13"/>
  </r>
  <r>
    <n v="51"/>
    <n v="17"/>
    <d v="2023-02-20T00:00:00"/>
    <d v="1899-12-30T13:53:00"/>
    <n v="118"/>
    <x v="26"/>
    <x v="2"/>
    <n v="14.95"/>
    <x v="13"/>
    <x v="1"/>
    <x v="1"/>
    <n v="13"/>
  </r>
  <r>
    <n v="52"/>
    <n v="17"/>
    <d v="2023-02-21T00:00:00"/>
    <d v="1899-12-30T13:53:00"/>
    <n v="131"/>
    <x v="27"/>
    <x v="1"/>
    <n v="17.95"/>
    <x v="0"/>
    <x v="1"/>
    <x v="2"/>
    <n v="13"/>
  </r>
  <r>
    <n v="53"/>
    <n v="18"/>
    <d v="2023-02-22T00:00:00"/>
    <d v="1899-12-30T13:57:08"/>
    <n v="111"/>
    <x v="22"/>
    <x v="0"/>
    <n v="11.95"/>
    <x v="5"/>
    <x v="1"/>
    <x v="3"/>
    <n v="13"/>
  </r>
  <r>
    <n v="54"/>
    <n v="19"/>
    <d v="2023-02-23T00:00:00"/>
    <d v="1899-12-30T13:59:09"/>
    <n v="110"/>
    <x v="11"/>
    <x v="0"/>
    <n v="17.95"/>
    <x v="0"/>
    <x v="1"/>
    <x v="4"/>
    <n v="13"/>
  </r>
  <r>
    <n v="55"/>
    <n v="19"/>
    <d v="2023-02-24T00:00:00"/>
    <d v="1899-12-30T13:59:09"/>
    <n v="120"/>
    <x v="28"/>
    <x v="2"/>
    <n v="13.95"/>
    <x v="9"/>
    <x v="1"/>
    <x v="5"/>
    <n v="13"/>
  </r>
  <r>
    <n v="56"/>
    <n v="20"/>
    <d v="2023-02-25T00:00:00"/>
    <d v="1899-12-30T14:03:08"/>
    <n v="107"/>
    <x v="19"/>
    <x v="0"/>
    <n v="16.5"/>
    <x v="12"/>
    <x v="1"/>
    <x v="6"/>
    <n v="14"/>
  </r>
  <r>
    <n v="57"/>
    <n v="20"/>
    <d v="2023-02-26T00:00:00"/>
    <d v="1899-12-30T14:03:08"/>
    <n v="124"/>
    <x v="2"/>
    <x v="1"/>
    <n v="14.5"/>
    <x v="1"/>
    <x v="1"/>
    <x v="0"/>
    <n v="14"/>
  </r>
  <r>
    <n v="58"/>
    <n v="21"/>
    <d v="2023-02-27T00:00:00"/>
    <d v="1899-12-30T14:14:29"/>
    <n v="110"/>
    <x v="11"/>
    <x v="0"/>
    <n v="17.95"/>
    <x v="0"/>
    <x v="1"/>
    <x v="1"/>
    <n v="14"/>
  </r>
  <r>
    <n v="59"/>
    <n v="22"/>
    <d v="2023-02-28T00:00:00"/>
    <d v="1899-12-30T14:16:26"/>
    <n v="124"/>
    <x v="2"/>
    <x v="1"/>
    <n v="14.5"/>
    <x v="1"/>
    <x v="1"/>
    <x v="2"/>
    <n v="14"/>
  </r>
  <r>
    <n v="60"/>
    <n v="22"/>
    <d v="2023-03-01T00:00:00"/>
    <d v="1899-12-30T14:16:26"/>
    <n v="110"/>
    <x v="11"/>
    <x v="0"/>
    <n v="17.95"/>
    <x v="0"/>
    <x v="2"/>
    <x v="3"/>
    <n v="14"/>
  </r>
  <r>
    <n v="61"/>
    <n v="22"/>
    <d v="2023-03-02T00:00:00"/>
    <d v="1899-12-30T14:16:26"/>
    <n v="105"/>
    <x v="15"/>
    <x v="3"/>
    <n v="7"/>
    <x v="4"/>
    <x v="2"/>
    <x v="4"/>
    <n v="14"/>
  </r>
  <r>
    <n v="62"/>
    <n v="23"/>
    <d v="2023-03-03T00:00:00"/>
    <d v="1899-12-30T14:19:03"/>
    <n v="105"/>
    <x v="15"/>
    <x v="3"/>
    <n v="7"/>
    <x v="4"/>
    <x v="2"/>
    <x v="5"/>
    <n v="14"/>
  </r>
  <r>
    <n v="63"/>
    <n v="24"/>
    <d v="2023-03-04T00:00:00"/>
    <d v="1899-12-30T14:23:01"/>
    <n v="101"/>
    <x v="7"/>
    <x v="3"/>
    <n v="12.95"/>
    <x v="2"/>
    <x v="2"/>
    <x v="6"/>
    <n v="14"/>
  </r>
  <r>
    <n v="64"/>
    <n v="24"/>
    <d v="2023-03-05T00:00:00"/>
    <d v="1899-12-30T14:23:01"/>
    <n v="110"/>
    <x v="11"/>
    <x v="0"/>
    <n v="17.95"/>
    <x v="0"/>
    <x v="2"/>
    <x v="0"/>
    <n v="14"/>
  </r>
  <r>
    <n v="65"/>
    <n v="24"/>
    <d v="2023-03-06T00:00:00"/>
    <d v="1899-12-30T14:23:01"/>
    <n v="113"/>
    <x v="17"/>
    <x v="0"/>
    <n v="5"/>
    <x v="10"/>
    <x v="2"/>
    <x v="1"/>
    <n v="14"/>
  </r>
  <r>
    <n v="66"/>
    <n v="24"/>
    <d v="2023-03-07T00:00:00"/>
    <d v="1899-12-30T14:23:01"/>
    <n v="119"/>
    <x v="6"/>
    <x v="2"/>
    <n v="11.95"/>
    <x v="5"/>
    <x v="2"/>
    <x v="2"/>
    <n v="14"/>
  </r>
  <r>
    <n v="67"/>
    <n v="25"/>
    <d v="2023-03-08T00:00:00"/>
    <d v="1899-12-30T14:44:44"/>
    <n v="120"/>
    <x v="28"/>
    <x v="2"/>
    <n v="13.95"/>
    <x v="9"/>
    <x v="2"/>
    <x v="3"/>
    <n v="14"/>
  </r>
  <r>
    <n v="68"/>
    <n v="25"/>
    <d v="2023-03-09T00:00:00"/>
    <d v="1899-12-30T14:44:44"/>
    <n v="106"/>
    <x v="5"/>
    <x v="3"/>
    <n v="7"/>
    <x v="4"/>
    <x v="2"/>
    <x v="4"/>
    <n v="14"/>
  </r>
  <r>
    <n v="69"/>
    <n v="26"/>
    <d v="2023-03-10T00:00:00"/>
    <d v="1899-12-30T14:54:26"/>
    <n v="108"/>
    <x v="1"/>
    <x v="0"/>
    <n v="14.5"/>
    <x v="1"/>
    <x v="2"/>
    <x v="5"/>
    <n v="14"/>
  </r>
  <r>
    <n v="70"/>
    <n v="26"/>
    <d v="2023-03-11T00:00:00"/>
    <d v="1899-12-30T14:54:26"/>
    <n v="132"/>
    <x v="14"/>
    <x v="1"/>
    <n v="16.95"/>
    <x v="8"/>
    <x v="2"/>
    <x v="6"/>
    <n v="14"/>
  </r>
  <r>
    <n v="71"/>
    <n v="27"/>
    <d v="2023-03-12T00:00:00"/>
    <d v="1899-12-30T15:11:17"/>
    <n v="101"/>
    <x v="7"/>
    <x v="3"/>
    <n v="12.95"/>
    <x v="2"/>
    <x v="2"/>
    <x v="0"/>
    <n v="15"/>
  </r>
  <r>
    <n v="72"/>
    <n v="27"/>
    <d v="2023-03-13T00:00:00"/>
    <d v="1899-12-30T15:11:17"/>
    <n v="108"/>
    <x v="1"/>
    <x v="0"/>
    <n v="14.5"/>
    <x v="1"/>
    <x v="2"/>
    <x v="1"/>
    <n v="15"/>
  </r>
  <r>
    <n v="73"/>
    <n v="27"/>
    <d v="2023-03-14T00:00:00"/>
    <d v="1899-12-30T15:11:17"/>
    <n v="131"/>
    <x v="27"/>
    <x v="1"/>
    <n v="17.95"/>
    <x v="0"/>
    <x v="2"/>
    <x v="2"/>
    <n v="15"/>
  </r>
  <r>
    <n v="74"/>
    <n v="28"/>
    <d v="2023-03-15T00:00:00"/>
    <d v="1899-12-30T15:35:46"/>
    <n v="103"/>
    <x v="29"/>
    <x v="3"/>
    <n v="9"/>
    <x v="6"/>
    <x v="2"/>
    <x v="3"/>
    <n v="15"/>
  </r>
  <r>
    <n v="75"/>
    <n v="29"/>
    <d v="2023-03-16T00:00:00"/>
    <d v="1899-12-30T15:41:01"/>
    <n v="126"/>
    <x v="10"/>
    <x v="1"/>
    <n v="14.5"/>
    <x v="1"/>
    <x v="2"/>
    <x v="4"/>
    <n v="15"/>
  </r>
  <r>
    <n v="76"/>
    <n v="30"/>
    <d v="2023-03-17T00:00:00"/>
    <d v="1899-12-30T15:41:25"/>
    <n v="106"/>
    <x v="5"/>
    <x v="3"/>
    <n v="7"/>
    <x v="4"/>
    <x v="2"/>
    <x v="5"/>
    <n v="15"/>
  </r>
  <r>
    <n v="77"/>
    <n v="31"/>
    <d v="2023-03-18T00:00:00"/>
    <d v="1899-12-30T15:50:18"/>
    <n v="129"/>
    <x v="4"/>
    <x v="1"/>
    <n v="15.5"/>
    <x v="3"/>
    <x v="2"/>
    <x v="6"/>
    <n v="15"/>
  </r>
  <r>
    <n v="78"/>
    <n v="31"/>
    <d v="2023-03-19T00:00:00"/>
    <d v="1899-12-30T15:50:18"/>
    <n v="113"/>
    <x v="17"/>
    <x v="0"/>
    <n v="5"/>
    <x v="10"/>
    <x v="2"/>
    <x v="0"/>
    <n v="15"/>
  </r>
  <r>
    <n v="79"/>
    <n v="32"/>
    <d v="2023-03-20T00:00:00"/>
    <d v="1899-12-30T15:53:18"/>
    <n v="107"/>
    <x v="19"/>
    <x v="0"/>
    <n v="16.5"/>
    <x v="12"/>
    <x v="2"/>
    <x v="1"/>
    <n v="15"/>
  </r>
  <r>
    <n v="80"/>
    <n v="32"/>
    <d v="2023-03-21T00:00:00"/>
    <d v="1899-12-30T15:53:18"/>
    <n v="126"/>
    <x v="10"/>
    <x v="1"/>
    <n v="14.5"/>
    <x v="1"/>
    <x v="2"/>
    <x v="2"/>
    <n v="15"/>
  </r>
  <r>
    <n v="81"/>
    <n v="32"/>
    <d v="2023-03-22T00:00:00"/>
    <d v="1899-12-30T15:53:18"/>
    <n v="110"/>
    <x v="11"/>
    <x v="0"/>
    <n v="17.95"/>
    <x v="0"/>
    <x v="2"/>
    <x v="3"/>
    <n v="15"/>
  </r>
  <r>
    <n v="82"/>
    <n v="32"/>
    <d v="2023-03-23T00:00:00"/>
    <d v="1899-12-30T15:53:18"/>
    <n v="117"/>
    <x v="3"/>
    <x v="2"/>
    <n v="12.95"/>
    <x v="2"/>
    <x v="2"/>
    <x v="4"/>
    <n v="15"/>
  </r>
  <r>
    <n v="83"/>
    <n v="33"/>
    <d v="2023-03-24T00:00:00"/>
    <d v="1899-12-30T15:54:08"/>
    <n v="101"/>
    <x v="7"/>
    <x v="3"/>
    <n v="12.95"/>
    <x v="2"/>
    <x v="2"/>
    <x v="5"/>
    <n v="15"/>
  </r>
  <r>
    <n v="84"/>
    <n v="33"/>
    <d v="2023-03-25T00:00:00"/>
    <d v="1899-12-30T15:54:08"/>
    <n v="126"/>
    <x v="10"/>
    <x v="1"/>
    <n v="14.5"/>
    <x v="1"/>
    <x v="2"/>
    <x v="6"/>
    <n v="15"/>
  </r>
  <r>
    <n v="85"/>
    <n v="34"/>
    <d v="2023-03-26T00:00:00"/>
    <d v="1899-12-30T16:21:21"/>
    <n v="114"/>
    <x v="8"/>
    <x v="0"/>
    <n v="9"/>
    <x v="6"/>
    <x v="2"/>
    <x v="0"/>
    <n v="16"/>
  </r>
  <r>
    <n v="86"/>
    <n v="35"/>
    <d v="2023-03-27T00:00:00"/>
    <d v="1899-12-30T16:32:04"/>
    <n v="126"/>
    <x v="10"/>
    <x v="1"/>
    <n v="14.5"/>
    <x v="1"/>
    <x v="2"/>
    <x v="1"/>
    <n v="16"/>
  </r>
  <r>
    <n v="87"/>
    <n v="35"/>
    <d v="2023-03-28T00:00:00"/>
    <d v="1899-12-30T16:32:04"/>
    <n v="112"/>
    <x v="30"/>
    <x v="0"/>
    <n v="14.95"/>
    <x v="13"/>
    <x v="2"/>
    <x v="2"/>
    <n v="16"/>
  </r>
  <r>
    <n v="88"/>
    <n v="35"/>
    <d v="2023-03-29T00:00:00"/>
    <d v="1899-12-30T16:32:04"/>
    <n v="113"/>
    <x v="17"/>
    <x v="0"/>
    <n v="5"/>
    <x v="10"/>
    <x v="2"/>
    <x v="3"/>
    <n v="16"/>
  </r>
  <r>
    <n v="89"/>
    <n v="35"/>
    <d v="2023-03-30T00:00:00"/>
    <d v="1899-12-30T16:32:04"/>
    <n v="106"/>
    <x v="5"/>
    <x v="3"/>
    <n v="7"/>
    <x v="4"/>
    <x v="2"/>
    <x v="4"/>
    <n v="16"/>
  </r>
  <r>
    <n v="90"/>
    <n v="36"/>
    <d v="2023-03-31T00:00:00"/>
    <d v="1899-12-30T16:54:09"/>
    <n v="101"/>
    <x v="7"/>
    <x v="3"/>
    <n v="12.95"/>
    <x v="2"/>
    <x v="2"/>
    <x v="5"/>
    <n v="16"/>
  </r>
  <r>
    <n v="91"/>
    <n v="36"/>
    <d v="2023-04-01T00:00:00"/>
    <d v="1899-12-30T16:54:09"/>
    <n v="108"/>
    <x v="1"/>
    <x v="0"/>
    <n v="14.5"/>
    <x v="1"/>
    <x v="3"/>
    <x v="6"/>
    <n v="16"/>
  </r>
  <r>
    <n v="92"/>
    <n v="37"/>
    <d v="2023-04-02T00:00:00"/>
    <d v="1899-12-30T16:56:09"/>
    <n v="117"/>
    <x v="3"/>
    <x v="2"/>
    <n v="12.95"/>
    <x v="2"/>
    <x v="3"/>
    <x v="0"/>
    <n v="16"/>
  </r>
  <r>
    <n v="93"/>
    <n v="37"/>
    <d v="2023-04-03T00:00:00"/>
    <d v="1899-12-30T16:56:09"/>
    <n v="129"/>
    <x v="4"/>
    <x v="1"/>
    <n v="15.5"/>
    <x v="3"/>
    <x v="3"/>
    <x v="1"/>
    <n v="16"/>
  </r>
  <r>
    <n v="94"/>
    <n v="38"/>
    <d v="2023-04-04T00:00:00"/>
    <d v="1899-12-30T17:03:00"/>
    <n v="109"/>
    <x v="0"/>
    <x v="0"/>
    <n v="17.95"/>
    <x v="0"/>
    <x v="3"/>
    <x v="2"/>
    <n v="17"/>
  </r>
  <r>
    <n v="95"/>
    <n v="38"/>
    <d v="2023-04-05T00:00:00"/>
    <d v="1899-12-30T17:03:00"/>
    <n v="110"/>
    <x v="11"/>
    <x v="0"/>
    <n v="17.95"/>
    <x v="0"/>
    <x v="3"/>
    <x v="3"/>
    <n v="17"/>
  </r>
  <r>
    <n v="96"/>
    <n v="39"/>
    <d v="2023-04-06T00:00:00"/>
    <d v="1899-12-30T17:07:23"/>
    <n v="117"/>
    <x v="3"/>
    <x v="2"/>
    <n v="12.95"/>
    <x v="2"/>
    <x v="3"/>
    <x v="4"/>
    <n v="17"/>
  </r>
  <r>
    <n v="97"/>
    <n v="40"/>
    <d v="2023-04-07T00:00:00"/>
    <d v="1899-12-30T17:14:36"/>
    <n v="125"/>
    <x v="21"/>
    <x v="1"/>
    <n v="17.95"/>
    <x v="0"/>
    <x v="3"/>
    <x v="5"/>
    <n v="17"/>
  </r>
  <r>
    <n v="98"/>
    <n v="40"/>
    <d v="2023-04-08T00:00:00"/>
    <d v="1899-12-30T17:14:36"/>
    <n v="105"/>
    <x v="15"/>
    <x v="3"/>
    <n v="7"/>
    <x v="4"/>
    <x v="3"/>
    <x v="6"/>
    <n v="17"/>
  </r>
  <r>
    <n v="99"/>
    <n v="41"/>
    <d v="2023-04-09T00:00:00"/>
    <d v="1899-12-30T17:15:20"/>
    <n v="125"/>
    <x v="21"/>
    <x v="1"/>
    <n v="17.95"/>
    <x v="0"/>
    <x v="3"/>
    <x v="0"/>
    <n v="17"/>
  </r>
  <r>
    <n v="100"/>
    <n v="41"/>
    <d v="2023-04-10T00:00:00"/>
    <d v="1899-12-30T17:15:20"/>
    <n v="126"/>
    <x v="10"/>
    <x v="1"/>
    <n v="14.5"/>
    <x v="1"/>
    <x v="3"/>
    <x v="1"/>
    <n v="17"/>
  </r>
  <r>
    <n v="101"/>
    <n v="42"/>
    <d v="2023-04-11T00:00:00"/>
    <d v="1899-12-30T17:28:09"/>
    <n v="107"/>
    <x v="19"/>
    <x v="0"/>
    <n v="16.5"/>
    <x v="12"/>
    <x v="3"/>
    <x v="2"/>
    <n v="17"/>
  </r>
  <r>
    <n v="102"/>
    <n v="42"/>
    <d v="2023-04-12T00:00:00"/>
    <d v="1899-12-30T17:28:09"/>
    <n v="124"/>
    <x v="2"/>
    <x v="1"/>
    <n v="14.5"/>
    <x v="1"/>
    <x v="3"/>
    <x v="3"/>
    <n v="17"/>
  </r>
  <r>
    <n v="103"/>
    <n v="42"/>
    <d v="2023-04-13T00:00:00"/>
    <d v="1899-12-30T17:28:09"/>
    <n v="129"/>
    <x v="4"/>
    <x v="1"/>
    <n v="15.5"/>
    <x v="3"/>
    <x v="3"/>
    <x v="4"/>
    <n v="17"/>
  </r>
  <r>
    <n v="104"/>
    <n v="42"/>
    <d v="2023-04-14T00:00:00"/>
    <d v="1899-12-30T17:28:09"/>
    <n v="118"/>
    <x v="26"/>
    <x v="2"/>
    <n v="14.95"/>
    <x v="13"/>
    <x v="3"/>
    <x v="5"/>
    <n v="17"/>
  </r>
  <r>
    <n v="105"/>
    <n v="43"/>
    <d v="2023-04-15T00:00:00"/>
    <d v="1899-12-30T17:38:34"/>
    <n v="103"/>
    <x v="29"/>
    <x v="3"/>
    <n v="9"/>
    <x v="6"/>
    <x v="3"/>
    <x v="6"/>
    <n v="17"/>
  </r>
  <r>
    <n v="106"/>
    <n v="43"/>
    <d v="2023-04-16T00:00:00"/>
    <d v="1899-12-30T17:38:34"/>
    <n v="117"/>
    <x v="3"/>
    <x v="2"/>
    <n v="12.95"/>
    <x v="2"/>
    <x v="3"/>
    <x v="0"/>
    <n v="17"/>
  </r>
  <r>
    <n v="107"/>
    <n v="43"/>
    <d v="2023-04-17T00:00:00"/>
    <d v="1899-12-30T17:38:34"/>
    <n v="118"/>
    <x v="26"/>
    <x v="2"/>
    <n v="14.95"/>
    <x v="13"/>
    <x v="3"/>
    <x v="1"/>
    <n v="17"/>
  </r>
  <r>
    <n v="108"/>
    <n v="44"/>
    <d v="2023-04-18T00:00:00"/>
    <d v="1899-12-30T17:54:20"/>
    <n v="130"/>
    <x v="13"/>
    <x v="1"/>
    <n v="19.95"/>
    <x v="7"/>
    <x v="3"/>
    <x v="2"/>
    <n v="17"/>
  </r>
  <r>
    <n v="109"/>
    <n v="45"/>
    <d v="2023-04-19T00:00:00"/>
    <d v="1899-12-30T17:55:48"/>
    <n v="125"/>
    <x v="21"/>
    <x v="1"/>
    <n v="17.95"/>
    <x v="0"/>
    <x v="3"/>
    <x v="3"/>
    <n v="17"/>
  </r>
  <r>
    <n v="110"/>
    <n v="45"/>
    <d v="2023-04-20T00:00:00"/>
    <d v="1899-12-30T17:55:48"/>
    <n v="109"/>
    <x v="0"/>
    <x v="0"/>
    <n v="17.95"/>
    <x v="0"/>
    <x v="3"/>
    <x v="4"/>
    <n v="17"/>
  </r>
  <r>
    <n v="111"/>
    <n v="45"/>
    <d v="2023-04-21T00:00:00"/>
    <d v="1899-12-30T17:55:48"/>
    <n v="106"/>
    <x v="5"/>
    <x v="3"/>
    <n v="7"/>
    <x v="4"/>
    <x v="3"/>
    <x v="5"/>
    <n v="17"/>
  </r>
  <r>
    <n v="112"/>
    <n v="46"/>
    <d v="2023-04-22T00:00:00"/>
    <d v="1899-12-30T18:25:51"/>
    <n v="104"/>
    <x v="18"/>
    <x v="3"/>
    <n v="10.5"/>
    <x v="11"/>
    <x v="3"/>
    <x v="6"/>
    <n v="18"/>
  </r>
  <r>
    <n v="113"/>
    <n v="46"/>
    <d v="2023-04-23T00:00:00"/>
    <d v="1899-12-30T18:25:51"/>
    <n v="108"/>
    <x v="1"/>
    <x v="0"/>
    <n v="14.5"/>
    <x v="1"/>
    <x v="3"/>
    <x v="0"/>
    <n v="18"/>
  </r>
  <r>
    <n v="114"/>
    <n v="46"/>
    <d v="2023-04-24T00:00:00"/>
    <d v="1899-12-30T18:25:51"/>
    <n v="106"/>
    <x v="5"/>
    <x v="3"/>
    <n v="7"/>
    <x v="4"/>
    <x v="3"/>
    <x v="1"/>
    <n v="18"/>
  </r>
  <r>
    <n v="115"/>
    <n v="47"/>
    <d v="2023-04-25T00:00:00"/>
    <d v="1899-12-30T18:26:34"/>
    <n v="105"/>
    <x v="15"/>
    <x v="3"/>
    <n v="7"/>
    <x v="4"/>
    <x v="3"/>
    <x v="2"/>
    <n v="18"/>
  </r>
  <r>
    <n v="116"/>
    <n v="47"/>
    <d v="2023-04-26T00:00:00"/>
    <d v="1899-12-30T18:26:34"/>
    <n v="132"/>
    <x v="14"/>
    <x v="1"/>
    <n v="16.95"/>
    <x v="8"/>
    <x v="3"/>
    <x v="3"/>
    <n v="18"/>
  </r>
  <r>
    <n v="117"/>
    <n v="48"/>
    <d v="2023-04-27T00:00:00"/>
    <d v="1899-12-30T18:26:42"/>
    <n v="104"/>
    <x v="18"/>
    <x v="3"/>
    <n v="10.5"/>
    <x v="11"/>
    <x v="3"/>
    <x v="4"/>
    <n v="18"/>
  </r>
  <r>
    <n v="118"/>
    <n v="48"/>
    <d v="2023-04-28T00:00:00"/>
    <d v="1899-12-30T18:26:42"/>
    <n v="126"/>
    <x v="10"/>
    <x v="1"/>
    <n v="14.5"/>
    <x v="1"/>
    <x v="3"/>
    <x v="5"/>
    <n v="18"/>
  </r>
  <r>
    <n v="119"/>
    <n v="48"/>
    <d v="2023-04-29T00:00:00"/>
    <d v="1899-12-30T18:26:42"/>
    <n v="119"/>
    <x v="6"/>
    <x v="2"/>
    <n v="11.95"/>
    <x v="5"/>
    <x v="3"/>
    <x v="6"/>
    <n v="18"/>
  </r>
  <r>
    <n v="120"/>
    <n v="48"/>
    <d v="2023-04-30T00:00:00"/>
    <d v="1899-12-30T18:26:42"/>
    <n v="122"/>
    <x v="12"/>
    <x v="2"/>
    <n v="7"/>
    <x v="4"/>
    <x v="3"/>
    <x v="0"/>
    <n v="18"/>
  </r>
  <r>
    <n v="121"/>
    <n v="49"/>
    <d v="2023-05-01T00:00:00"/>
    <d v="1899-12-30T18:33:00"/>
    <n v="120"/>
    <x v="28"/>
    <x v="2"/>
    <n v="13.95"/>
    <x v="9"/>
    <x v="4"/>
    <x v="1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63B98-B435-49D9-A106-5C7B63BE4A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showAll="0"/>
    <pivotField numFmtId="14" showAll="0"/>
    <pivotField numFmtId="164" showAll="0"/>
    <pivotField showAll="0"/>
    <pivotField axis="axisRow" dataField="1" showAll="0" measureFilter="1">
      <items count="32">
        <item x="22"/>
        <item x="25"/>
        <item x="20"/>
        <item x="16"/>
        <item x="3"/>
        <item x="27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4"/>
    </i>
    <i>
      <x v="11"/>
    </i>
    <i>
      <x v="12"/>
    </i>
    <i>
      <x v="13"/>
    </i>
    <i>
      <x v="16"/>
    </i>
    <i>
      <x v="18"/>
    </i>
    <i>
      <x v="20"/>
    </i>
    <i>
      <x v="24"/>
    </i>
    <i>
      <x v="25"/>
    </i>
    <i>
      <x v="29"/>
    </i>
    <i t="grand">
      <x/>
    </i>
  </rowItems>
  <colItems count="1">
    <i/>
  </colItems>
  <dataFields count="1">
    <dataField name="Count of Items name" fld="5" subtotal="count" baseField="5" baseItem="0"/>
  </dataField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CC973-A4FB-435A-8D71-2849298E9A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8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7856-AE87-440D-81A9-8756280581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12">
    <pivotField showAll="0"/>
    <pivotField showAll="0"/>
    <pivotField numFmtId="14" showAll="0"/>
    <pivotField numFmtId="164" showAll="0"/>
    <pivotField showAll="0"/>
    <pivotField axis="axisRow" dataField="1" showAll="0">
      <items count="32">
        <item x="22"/>
        <item x="25"/>
        <item x="20"/>
        <item x="16"/>
        <item x="3"/>
        <item x="27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Items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FAC77-A098-4F6B-AB1A-96A565AB03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showAll="0"/>
    <pivotField numFmtId="14" showAll="0"/>
    <pivotField numFmtId="164" showAll="0"/>
    <pivotField showAll="0"/>
    <pivotField axis="axisRow" showAll="0" measureFilter="1">
      <items count="32">
        <item x="22"/>
        <item x="25"/>
        <item x="20"/>
        <item x="16"/>
        <item x="3"/>
        <item x="27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 v="3"/>
    </i>
    <i>
      <x v="4"/>
    </i>
    <i>
      <x v="11"/>
    </i>
    <i>
      <x v="13"/>
    </i>
    <i>
      <x v="18"/>
    </i>
    <i>
      <x v="19"/>
    </i>
    <i>
      <x v="20"/>
    </i>
    <i>
      <x v="24"/>
    </i>
    <i>
      <x v="25"/>
    </i>
    <i>
      <x v="29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247F5-1CB4-410B-B1BA-4F7245140BC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numFmtId="14" showAll="0"/>
    <pivotField numFmtId="16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>
      <items count="15">
        <item x="10"/>
        <item x="4"/>
        <item x="6"/>
        <item x="11"/>
        <item x="5"/>
        <item x="2"/>
        <item x="9"/>
        <item x="1"/>
        <item x="13"/>
        <item x="3"/>
        <item x="12"/>
        <item x="8"/>
        <item x="0"/>
        <item x="7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29FEF-6422-4106-AC87-041E398CAC8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8B23B-505E-43C9-83EF-DB3E382F67B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E2B49-485F-48F1-9767-B61AD9F9B17F}" name="Table2" displayName="Table2" ref="A2:L123" totalsRowShown="0" tableBorderDxfId="4">
  <autoFilter ref="A2:L123" xr:uid="{376E2B49-485F-48F1-9767-B61AD9F9B17F}"/>
  <tableColumns count="12">
    <tableColumn id="1" xr3:uid="{8CA71422-3045-4E92-BC6E-2AD6B60510E8}" name="Order details id"/>
    <tableColumn id="2" xr3:uid="{B3ED9D25-E20F-416A-8B84-E306560682F2}" name="Order id"/>
    <tableColumn id="3" xr3:uid="{42E3F4C0-9B3C-4C0C-9B13-7A6BEF4B63DA}" name="Order date" dataDxfId="3"/>
    <tableColumn id="4" xr3:uid="{11EBDCCB-C766-44D3-9F78-A252F6915284}" name="Order time" dataDxfId="2"/>
    <tableColumn id="5" xr3:uid="{1DA3A48B-44E6-4280-A03A-C29E4941B368}" name="Item_id"/>
    <tableColumn id="6" xr3:uid="{FDCA6C43-7FB9-41D6-9A05-1D71F4404A8F}" name="Items name"/>
    <tableColumn id="7" xr3:uid="{CEE711AE-86B4-48C9-88FA-B607532F4B50}" name="Category">
      <calculatedColumnFormula>VLOOKUP(E3,menu_items!A:C,3,0)</calculatedColumnFormula>
    </tableColumn>
    <tableColumn id="8" xr3:uid="{42642797-C7B9-4D3F-AF36-F211A6FD27E0}" name="Price">
      <calculatedColumnFormula>VLOOKUP(E3, menu_items!A:D,4,0)</calculatedColumnFormula>
    </tableColumn>
    <tableColumn id="9" xr3:uid="{79AAE602-6119-49E6-9B26-4AB1B8F28DBF}" name="Revenue">
      <calculatedColumnFormula>H3</calculatedColumnFormula>
    </tableColumn>
    <tableColumn id="10" xr3:uid="{961B0F22-E668-4D1A-9FCD-3AF4384085CA}" name="Month">
      <calculatedColumnFormula>TEXT(C3,"mmm")</calculatedColumnFormula>
    </tableColumn>
    <tableColumn id="11" xr3:uid="{5191CC9A-1C40-4121-B87E-5A0A3F223F2E}" name="Day">
      <calculatedColumnFormula>TEXT(C3,"dddd")</calculatedColumnFormula>
    </tableColumn>
    <tableColumn id="12" xr3:uid="{2E205DD2-1100-44B4-999B-BE7D8C5A532D}" name="Hour">
      <calculatedColumnFormula>HOUR(D3)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D317-3E3B-4695-877E-4075B3592DA7}">
  <dimension ref="A1:D33"/>
  <sheetViews>
    <sheetView workbookViewId="0"/>
  </sheetViews>
  <sheetFormatPr defaultRowHeight="14.4" x14ac:dyDescent="0.3"/>
  <sheetData>
    <row r="1" spans="1:4" x14ac:dyDescent="0.3">
      <c r="A1" t="s">
        <v>51</v>
      </c>
      <c r="B1" t="s">
        <v>50</v>
      </c>
      <c r="C1" t="s">
        <v>49</v>
      </c>
      <c r="D1" t="s">
        <v>48</v>
      </c>
    </row>
    <row r="2" spans="1:4" x14ac:dyDescent="0.3">
      <c r="A2">
        <v>101</v>
      </c>
      <c r="B2" t="s">
        <v>20</v>
      </c>
      <c r="C2" t="s">
        <v>47</v>
      </c>
      <c r="D2">
        <v>12.95</v>
      </c>
    </row>
    <row r="3" spans="1:4" x14ac:dyDescent="0.3">
      <c r="A3">
        <v>102</v>
      </c>
      <c r="B3" t="s">
        <v>29</v>
      </c>
      <c r="C3" t="s">
        <v>47</v>
      </c>
      <c r="D3">
        <v>13.95</v>
      </c>
    </row>
    <row r="4" spans="1:4" x14ac:dyDescent="0.3">
      <c r="A4">
        <v>103</v>
      </c>
      <c r="B4" t="s">
        <v>42</v>
      </c>
      <c r="C4" t="s">
        <v>47</v>
      </c>
      <c r="D4">
        <v>9</v>
      </c>
    </row>
    <row r="5" spans="1:4" x14ac:dyDescent="0.3">
      <c r="A5">
        <v>104</v>
      </c>
      <c r="B5" t="s">
        <v>31</v>
      </c>
      <c r="C5" t="s">
        <v>47</v>
      </c>
      <c r="D5">
        <v>10.5</v>
      </c>
    </row>
    <row r="6" spans="1:4" x14ac:dyDescent="0.3">
      <c r="A6">
        <v>105</v>
      </c>
      <c r="B6" t="s">
        <v>28</v>
      </c>
      <c r="C6" t="s">
        <v>47</v>
      </c>
      <c r="D6">
        <v>7</v>
      </c>
    </row>
    <row r="7" spans="1:4" x14ac:dyDescent="0.3">
      <c r="A7">
        <v>106</v>
      </c>
      <c r="B7" t="s">
        <v>18</v>
      </c>
      <c r="C7" t="s">
        <v>47</v>
      </c>
      <c r="D7">
        <v>7</v>
      </c>
    </row>
    <row r="8" spans="1:4" x14ac:dyDescent="0.3">
      <c r="A8">
        <v>107</v>
      </c>
      <c r="B8" t="s">
        <v>32</v>
      </c>
      <c r="C8" t="s">
        <v>13</v>
      </c>
      <c r="D8">
        <v>16.5</v>
      </c>
    </row>
    <row r="9" spans="1:4" x14ac:dyDescent="0.3">
      <c r="A9">
        <v>108</v>
      </c>
      <c r="B9" t="s">
        <v>14</v>
      </c>
      <c r="C9" t="s">
        <v>13</v>
      </c>
      <c r="D9">
        <v>14.5</v>
      </c>
    </row>
    <row r="10" spans="1:4" x14ac:dyDescent="0.3">
      <c r="A10">
        <v>109</v>
      </c>
      <c r="B10" t="s">
        <v>12</v>
      </c>
      <c r="C10" t="s">
        <v>13</v>
      </c>
      <c r="D10">
        <v>17.95</v>
      </c>
    </row>
    <row r="11" spans="1:4" x14ac:dyDescent="0.3">
      <c r="A11">
        <v>110</v>
      </c>
      <c r="B11" t="s">
        <v>24</v>
      </c>
      <c r="C11" t="s">
        <v>13</v>
      </c>
      <c r="D11">
        <v>17.95</v>
      </c>
    </row>
    <row r="12" spans="1:4" x14ac:dyDescent="0.3">
      <c r="A12">
        <v>111</v>
      </c>
      <c r="B12" t="s">
        <v>35</v>
      </c>
      <c r="C12" t="s">
        <v>13</v>
      </c>
      <c r="D12">
        <v>11.95</v>
      </c>
    </row>
    <row r="13" spans="1:4" x14ac:dyDescent="0.3">
      <c r="A13">
        <v>112</v>
      </c>
      <c r="B13" t="s">
        <v>43</v>
      </c>
      <c r="C13" t="s">
        <v>13</v>
      </c>
      <c r="D13">
        <v>14.95</v>
      </c>
    </row>
    <row r="14" spans="1:4" x14ac:dyDescent="0.3">
      <c r="A14">
        <v>113</v>
      </c>
      <c r="B14" t="s">
        <v>30</v>
      </c>
      <c r="C14" t="s">
        <v>13</v>
      </c>
      <c r="D14">
        <v>5</v>
      </c>
    </row>
    <row r="15" spans="1:4" x14ac:dyDescent="0.3">
      <c r="A15">
        <v>114</v>
      </c>
      <c r="B15" t="s">
        <v>21</v>
      </c>
      <c r="C15" t="s">
        <v>13</v>
      </c>
      <c r="D15">
        <v>9</v>
      </c>
    </row>
    <row r="16" spans="1:4" x14ac:dyDescent="0.3">
      <c r="A16">
        <v>115</v>
      </c>
      <c r="B16" t="s">
        <v>46</v>
      </c>
      <c r="C16" t="s">
        <v>45</v>
      </c>
      <c r="D16">
        <v>11.95</v>
      </c>
    </row>
    <row r="17" spans="1:4" x14ac:dyDescent="0.3">
      <c r="A17">
        <v>116</v>
      </c>
      <c r="B17" t="s">
        <v>36</v>
      </c>
      <c r="C17" t="s">
        <v>45</v>
      </c>
      <c r="D17">
        <v>13.95</v>
      </c>
    </row>
    <row r="18" spans="1:4" x14ac:dyDescent="0.3">
      <c r="A18">
        <v>117</v>
      </c>
      <c r="B18" t="s">
        <v>16</v>
      </c>
      <c r="C18" t="s">
        <v>45</v>
      </c>
      <c r="D18">
        <v>12.95</v>
      </c>
    </row>
    <row r="19" spans="1:4" x14ac:dyDescent="0.3">
      <c r="A19">
        <v>118</v>
      </c>
      <c r="B19" t="s">
        <v>39</v>
      </c>
      <c r="C19" t="s">
        <v>45</v>
      </c>
      <c r="D19">
        <v>14.95</v>
      </c>
    </row>
    <row r="20" spans="1:4" x14ac:dyDescent="0.3">
      <c r="A20">
        <v>119</v>
      </c>
      <c r="B20" t="s">
        <v>19</v>
      </c>
      <c r="C20" t="s">
        <v>45</v>
      </c>
      <c r="D20">
        <v>11.95</v>
      </c>
    </row>
    <row r="21" spans="1:4" x14ac:dyDescent="0.3">
      <c r="A21">
        <v>120</v>
      </c>
      <c r="B21" t="s">
        <v>41</v>
      </c>
      <c r="C21" t="s">
        <v>45</v>
      </c>
      <c r="D21">
        <v>13.95</v>
      </c>
    </row>
    <row r="22" spans="1:4" x14ac:dyDescent="0.3">
      <c r="A22">
        <v>121</v>
      </c>
      <c r="B22" t="s">
        <v>33</v>
      </c>
      <c r="C22" t="s">
        <v>45</v>
      </c>
      <c r="D22">
        <v>10.5</v>
      </c>
    </row>
    <row r="23" spans="1:4" x14ac:dyDescent="0.3">
      <c r="A23">
        <v>122</v>
      </c>
      <c r="B23" t="s">
        <v>25</v>
      </c>
      <c r="C23" t="s">
        <v>45</v>
      </c>
      <c r="D23">
        <v>7</v>
      </c>
    </row>
    <row r="24" spans="1:4" x14ac:dyDescent="0.3">
      <c r="A24">
        <v>123</v>
      </c>
      <c r="B24" t="s">
        <v>22</v>
      </c>
      <c r="C24" t="s">
        <v>45</v>
      </c>
      <c r="D24">
        <v>9</v>
      </c>
    </row>
    <row r="25" spans="1:4" x14ac:dyDescent="0.3">
      <c r="A25">
        <v>124</v>
      </c>
      <c r="B25" t="s">
        <v>15</v>
      </c>
      <c r="C25" t="s">
        <v>44</v>
      </c>
      <c r="D25">
        <v>14.5</v>
      </c>
    </row>
    <row r="26" spans="1:4" x14ac:dyDescent="0.3">
      <c r="A26">
        <v>125</v>
      </c>
      <c r="B26" t="s">
        <v>34</v>
      </c>
      <c r="C26" t="s">
        <v>44</v>
      </c>
      <c r="D26">
        <v>17.95</v>
      </c>
    </row>
    <row r="27" spans="1:4" x14ac:dyDescent="0.3">
      <c r="A27">
        <v>126</v>
      </c>
      <c r="B27" t="s">
        <v>23</v>
      </c>
      <c r="C27" t="s">
        <v>44</v>
      </c>
      <c r="D27">
        <v>14.5</v>
      </c>
    </row>
    <row r="28" spans="1:4" x14ac:dyDescent="0.3">
      <c r="A28">
        <v>127</v>
      </c>
      <c r="B28" t="s">
        <v>37</v>
      </c>
      <c r="C28" t="s">
        <v>44</v>
      </c>
      <c r="D28">
        <v>17.95</v>
      </c>
    </row>
    <row r="29" spans="1:4" x14ac:dyDescent="0.3">
      <c r="A29">
        <v>128</v>
      </c>
      <c r="B29" t="s">
        <v>38</v>
      </c>
      <c r="C29" t="s">
        <v>44</v>
      </c>
      <c r="D29">
        <v>15.5</v>
      </c>
    </row>
    <row r="30" spans="1:4" x14ac:dyDescent="0.3">
      <c r="A30">
        <v>129</v>
      </c>
      <c r="B30" t="s">
        <v>17</v>
      </c>
      <c r="C30" t="s">
        <v>44</v>
      </c>
      <c r="D30">
        <v>15.5</v>
      </c>
    </row>
    <row r="31" spans="1:4" x14ac:dyDescent="0.3">
      <c r="A31">
        <v>130</v>
      </c>
      <c r="B31" t="s">
        <v>26</v>
      </c>
      <c r="C31" t="s">
        <v>44</v>
      </c>
      <c r="D31">
        <v>19.95</v>
      </c>
    </row>
    <row r="32" spans="1:4" x14ac:dyDescent="0.3">
      <c r="A32">
        <v>131</v>
      </c>
      <c r="B32" t="s">
        <v>40</v>
      </c>
      <c r="C32" t="s">
        <v>44</v>
      </c>
      <c r="D32">
        <v>17.95</v>
      </c>
    </row>
    <row r="33" spans="1:4" x14ac:dyDescent="0.3">
      <c r="A33">
        <v>132</v>
      </c>
      <c r="B33" t="s">
        <v>27</v>
      </c>
      <c r="C33" t="s">
        <v>44</v>
      </c>
      <c r="D33">
        <v>16.95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0AF1-78F0-478C-89EB-8892317ACED9}">
  <dimension ref="A2:L123"/>
  <sheetViews>
    <sheetView topLeftCell="A97" workbookViewId="0">
      <selection activeCell="J117" sqref="J117"/>
    </sheetView>
  </sheetViews>
  <sheetFormatPr defaultRowHeight="14.4" x14ac:dyDescent="0.3"/>
  <cols>
    <col min="3" max="3" width="10.33203125" bestFit="1" customWidth="1"/>
  </cols>
  <sheetData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1</v>
      </c>
      <c r="B3">
        <v>1</v>
      </c>
      <c r="C3" s="1">
        <v>44927</v>
      </c>
      <c r="D3" s="2">
        <v>0.4851388888888889</v>
      </c>
      <c r="E3">
        <v>109</v>
      </c>
      <c r="F3" t="s">
        <v>12</v>
      </c>
      <c r="G3" t="s">
        <v>13</v>
      </c>
    </row>
    <row r="4" spans="1:12" x14ac:dyDescent="0.3">
      <c r="A4">
        <v>2</v>
      </c>
      <c r="B4">
        <v>2</v>
      </c>
      <c r="C4" s="1">
        <v>44928</v>
      </c>
      <c r="D4" s="2">
        <v>0.49837962962962962</v>
      </c>
      <c r="E4">
        <v>108</v>
      </c>
      <c r="F4" t="s">
        <v>14</v>
      </c>
    </row>
    <row r="5" spans="1:12" x14ac:dyDescent="0.3">
      <c r="A5">
        <v>3</v>
      </c>
      <c r="B5">
        <v>2</v>
      </c>
      <c r="C5" s="1">
        <v>44929</v>
      </c>
      <c r="D5" s="2">
        <v>0.49837962962962962</v>
      </c>
      <c r="E5">
        <v>124</v>
      </c>
      <c r="F5" t="s">
        <v>15</v>
      </c>
    </row>
    <row r="6" spans="1:12" x14ac:dyDescent="0.3">
      <c r="A6">
        <v>4</v>
      </c>
      <c r="B6">
        <v>2</v>
      </c>
      <c r="C6" s="1">
        <v>44930</v>
      </c>
      <c r="D6" s="2">
        <v>0.49837962962962962</v>
      </c>
      <c r="E6">
        <v>117</v>
      </c>
      <c r="F6" t="s">
        <v>16</v>
      </c>
    </row>
    <row r="7" spans="1:12" x14ac:dyDescent="0.3">
      <c r="A7">
        <v>5</v>
      </c>
      <c r="B7">
        <v>2</v>
      </c>
      <c r="C7" s="1">
        <v>44931</v>
      </c>
      <c r="D7" s="2">
        <v>0.49837962962962962</v>
      </c>
      <c r="E7">
        <v>129</v>
      </c>
      <c r="F7" t="s">
        <v>17</v>
      </c>
    </row>
    <row r="8" spans="1:12" x14ac:dyDescent="0.3">
      <c r="A8">
        <v>6</v>
      </c>
      <c r="B8">
        <v>2</v>
      </c>
      <c r="C8" s="1">
        <v>44932</v>
      </c>
      <c r="D8" s="2">
        <v>0.49837962962962962</v>
      </c>
      <c r="E8">
        <v>106</v>
      </c>
      <c r="F8" t="s">
        <v>18</v>
      </c>
    </row>
    <row r="9" spans="1:12" x14ac:dyDescent="0.3">
      <c r="A9">
        <v>7</v>
      </c>
      <c r="B9">
        <v>3</v>
      </c>
      <c r="C9" s="1">
        <v>44933</v>
      </c>
      <c r="D9" s="2">
        <v>0.50865740740740739</v>
      </c>
      <c r="E9">
        <v>117</v>
      </c>
      <c r="F9" t="s">
        <v>16</v>
      </c>
    </row>
    <row r="10" spans="1:12" x14ac:dyDescent="0.3">
      <c r="A10">
        <v>8</v>
      </c>
      <c r="B10">
        <v>3</v>
      </c>
      <c r="C10" s="1">
        <v>44934</v>
      </c>
      <c r="D10" s="2">
        <v>0.50865740740740739</v>
      </c>
      <c r="E10">
        <v>119</v>
      </c>
      <c r="F10" t="s">
        <v>19</v>
      </c>
    </row>
    <row r="11" spans="1:12" x14ac:dyDescent="0.3">
      <c r="A11">
        <v>9</v>
      </c>
      <c r="B11">
        <v>4</v>
      </c>
      <c r="C11" s="1">
        <v>44935</v>
      </c>
      <c r="D11" s="2">
        <v>0.51146990740740739</v>
      </c>
      <c r="E11">
        <v>117</v>
      </c>
      <c r="F11" t="s">
        <v>16</v>
      </c>
    </row>
    <row r="12" spans="1:12" x14ac:dyDescent="0.3">
      <c r="A12">
        <v>10</v>
      </c>
      <c r="B12">
        <v>5</v>
      </c>
      <c r="C12" s="1">
        <v>44936</v>
      </c>
      <c r="D12" s="2">
        <v>0.51493055555555556</v>
      </c>
      <c r="E12">
        <v>117</v>
      </c>
      <c r="F12" t="s">
        <v>16</v>
      </c>
    </row>
    <row r="13" spans="1:12" x14ac:dyDescent="0.3">
      <c r="A13">
        <v>11</v>
      </c>
      <c r="B13">
        <v>6</v>
      </c>
      <c r="C13" s="1">
        <v>44937</v>
      </c>
      <c r="D13" s="2">
        <v>0.52055555555555555</v>
      </c>
      <c r="E13">
        <v>101</v>
      </c>
      <c r="F13" t="s">
        <v>20</v>
      </c>
    </row>
    <row r="14" spans="1:12" x14ac:dyDescent="0.3">
      <c r="A14">
        <v>12</v>
      </c>
      <c r="B14">
        <v>6</v>
      </c>
      <c r="C14" s="1">
        <v>44938</v>
      </c>
      <c r="D14" s="2">
        <v>0.52055555555555555</v>
      </c>
      <c r="E14">
        <v>114</v>
      </c>
      <c r="F14" t="s">
        <v>21</v>
      </c>
    </row>
    <row r="15" spans="1:12" x14ac:dyDescent="0.3">
      <c r="A15">
        <v>13</v>
      </c>
      <c r="B15">
        <v>7</v>
      </c>
      <c r="C15" s="1">
        <v>44939</v>
      </c>
      <c r="D15" s="2">
        <v>0.53515046296296298</v>
      </c>
      <c r="E15">
        <v>123</v>
      </c>
      <c r="F15" t="s">
        <v>22</v>
      </c>
    </row>
    <row r="16" spans="1:12" x14ac:dyDescent="0.3">
      <c r="A16">
        <v>14</v>
      </c>
      <c r="B16">
        <v>8</v>
      </c>
      <c r="C16" s="1">
        <v>44940</v>
      </c>
      <c r="D16" s="2">
        <v>0.53584490740740742</v>
      </c>
      <c r="E16">
        <v>123</v>
      </c>
      <c r="F16" t="s">
        <v>22</v>
      </c>
    </row>
    <row r="17" spans="1:6" x14ac:dyDescent="0.3">
      <c r="A17">
        <v>15</v>
      </c>
      <c r="B17">
        <v>9</v>
      </c>
      <c r="C17" s="1">
        <v>44941</v>
      </c>
      <c r="D17" s="2">
        <v>0.53612268518518513</v>
      </c>
      <c r="E17">
        <v>108</v>
      </c>
      <c r="F17" t="s">
        <v>14</v>
      </c>
    </row>
    <row r="18" spans="1:6" x14ac:dyDescent="0.3">
      <c r="A18">
        <v>16</v>
      </c>
      <c r="B18">
        <v>9</v>
      </c>
      <c r="C18" s="1">
        <v>44942</v>
      </c>
      <c r="D18" s="2">
        <v>0.53612268518518513</v>
      </c>
      <c r="E18">
        <v>126</v>
      </c>
      <c r="F18" t="s">
        <v>23</v>
      </c>
    </row>
    <row r="19" spans="1:6" x14ac:dyDescent="0.3">
      <c r="A19">
        <v>17</v>
      </c>
      <c r="B19">
        <v>9</v>
      </c>
      <c r="C19" s="1">
        <v>44943</v>
      </c>
      <c r="D19" s="2">
        <v>0.53612268518518513</v>
      </c>
      <c r="E19">
        <v>110</v>
      </c>
      <c r="F19" t="s">
        <v>24</v>
      </c>
    </row>
    <row r="20" spans="1:6" x14ac:dyDescent="0.3">
      <c r="A20">
        <v>18</v>
      </c>
      <c r="B20">
        <v>9</v>
      </c>
      <c r="C20" s="1">
        <v>44944</v>
      </c>
      <c r="D20" s="2">
        <v>0.53612268518518513</v>
      </c>
      <c r="E20">
        <v>117</v>
      </c>
      <c r="F20" t="s">
        <v>16</v>
      </c>
    </row>
    <row r="21" spans="1:6" x14ac:dyDescent="0.3">
      <c r="A21">
        <v>19</v>
      </c>
      <c r="B21">
        <v>9</v>
      </c>
      <c r="C21" s="1">
        <v>44945</v>
      </c>
      <c r="D21" s="2">
        <v>0.53612268518518513</v>
      </c>
      <c r="E21">
        <v>117</v>
      </c>
      <c r="F21" t="s">
        <v>16</v>
      </c>
    </row>
    <row r="22" spans="1:6" x14ac:dyDescent="0.3">
      <c r="A22">
        <v>20</v>
      </c>
      <c r="B22">
        <v>9</v>
      </c>
      <c r="C22" s="1">
        <v>44946</v>
      </c>
      <c r="D22" s="2">
        <v>0.53612268518518513</v>
      </c>
      <c r="E22">
        <v>129</v>
      </c>
      <c r="F22" t="s">
        <v>17</v>
      </c>
    </row>
    <row r="23" spans="1:6" x14ac:dyDescent="0.3">
      <c r="A23">
        <v>21</v>
      </c>
      <c r="B23">
        <v>9</v>
      </c>
      <c r="C23" s="1">
        <v>44947</v>
      </c>
      <c r="D23" s="2">
        <v>0.53612268518518513</v>
      </c>
      <c r="E23">
        <v>122</v>
      </c>
      <c r="F23" t="s">
        <v>25</v>
      </c>
    </row>
    <row r="24" spans="1:6" x14ac:dyDescent="0.3">
      <c r="A24">
        <v>22</v>
      </c>
      <c r="B24">
        <v>9</v>
      </c>
      <c r="C24" s="1">
        <v>44948</v>
      </c>
      <c r="D24" s="2">
        <v>0.53612268518518513</v>
      </c>
      <c r="E24">
        <v>130</v>
      </c>
      <c r="F24" t="s">
        <v>26</v>
      </c>
    </row>
    <row r="25" spans="1:6" x14ac:dyDescent="0.3">
      <c r="A25">
        <v>23</v>
      </c>
      <c r="B25">
        <v>9</v>
      </c>
      <c r="C25" s="1">
        <v>44949</v>
      </c>
      <c r="D25" s="2">
        <v>0.53612268518518513</v>
      </c>
      <c r="E25">
        <v>132</v>
      </c>
      <c r="F25" t="s">
        <v>27</v>
      </c>
    </row>
    <row r="26" spans="1:6" x14ac:dyDescent="0.3">
      <c r="A26">
        <v>24</v>
      </c>
      <c r="B26">
        <v>10</v>
      </c>
      <c r="C26" s="1">
        <v>44950</v>
      </c>
      <c r="D26" s="2">
        <v>0.54184027777777777</v>
      </c>
      <c r="E26">
        <v>129</v>
      </c>
      <c r="F26" t="s">
        <v>17</v>
      </c>
    </row>
    <row r="27" spans="1:6" x14ac:dyDescent="0.3">
      <c r="A27">
        <v>25</v>
      </c>
      <c r="B27">
        <v>10</v>
      </c>
      <c r="C27" s="1">
        <v>44951</v>
      </c>
      <c r="D27" s="2">
        <v>0.54184027777777777</v>
      </c>
      <c r="E27">
        <v>105</v>
      </c>
      <c r="F27" t="s">
        <v>28</v>
      </c>
    </row>
    <row r="28" spans="1:6" x14ac:dyDescent="0.3">
      <c r="A28">
        <v>26</v>
      </c>
      <c r="B28">
        <v>11</v>
      </c>
      <c r="C28" s="1">
        <v>44952</v>
      </c>
      <c r="D28" s="2">
        <v>0.54373842592592592</v>
      </c>
      <c r="E28">
        <v>101</v>
      </c>
      <c r="F28" t="s">
        <v>20</v>
      </c>
    </row>
    <row r="29" spans="1:6" x14ac:dyDescent="0.3">
      <c r="A29">
        <v>27</v>
      </c>
      <c r="B29">
        <v>11</v>
      </c>
      <c r="C29" s="1">
        <v>44953</v>
      </c>
      <c r="D29" s="2">
        <v>0.54373842592592592</v>
      </c>
      <c r="E29">
        <v>102</v>
      </c>
      <c r="F29" t="s">
        <v>29</v>
      </c>
    </row>
    <row r="30" spans="1:6" x14ac:dyDescent="0.3">
      <c r="A30">
        <v>28</v>
      </c>
      <c r="B30">
        <v>11</v>
      </c>
      <c r="C30" s="1">
        <v>44954</v>
      </c>
      <c r="D30" s="2">
        <v>0.54373842592592592</v>
      </c>
      <c r="E30">
        <v>102</v>
      </c>
      <c r="F30" t="s">
        <v>29</v>
      </c>
    </row>
    <row r="31" spans="1:6" x14ac:dyDescent="0.3">
      <c r="A31">
        <v>29</v>
      </c>
      <c r="B31">
        <v>11</v>
      </c>
      <c r="C31" s="1">
        <v>44955</v>
      </c>
      <c r="D31" s="2">
        <v>0.54373842592592592</v>
      </c>
      <c r="E31">
        <v>113</v>
      </c>
      <c r="F31" t="s">
        <v>30</v>
      </c>
    </row>
    <row r="32" spans="1:6" x14ac:dyDescent="0.3">
      <c r="A32">
        <v>30</v>
      </c>
      <c r="B32">
        <v>12</v>
      </c>
      <c r="C32" s="1">
        <v>44956</v>
      </c>
      <c r="D32" s="2">
        <v>0.54491898148148143</v>
      </c>
      <c r="E32">
        <v>102</v>
      </c>
      <c r="F32" t="s">
        <v>29</v>
      </c>
    </row>
    <row r="33" spans="1:6" x14ac:dyDescent="0.3">
      <c r="A33">
        <v>31</v>
      </c>
      <c r="B33">
        <v>12</v>
      </c>
      <c r="C33" s="1">
        <v>44957</v>
      </c>
      <c r="D33" s="2">
        <v>0.54491898148148143</v>
      </c>
      <c r="E33">
        <v>102</v>
      </c>
      <c r="F33" t="s">
        <v>29</v>
      </c>
    </row>
    <row r="34" spans="1:6" x14ac:dyDescent="0.3">
      <c r="A34">
        <v>32</v>
      </c>
      <c r="B34">
        <v>12</v>
      </c>
      <c r="C34" s="1">
        <v>44958</v>
      </c>
      <c r="D34" s="2">
        <v>0.54491898148148143</v>
      </c>
      <c r="E34">
        <v>104</v>
      </c>
      <c r="F34" t="s">
        <v>31</v>
      </c>
    </row>
    <row r="35" spans="1:6" x14ac:dyDescent="0.3">
      <c r="A35">
        <v>33</v>
      </c>
      <c r="B35">
        <v>12</v>
      </c>
      <c r="C35" s="1">
        <v>44959</v>
      </c>
      <c r="D35" s="2">
        <v>0.54491898148148143</v>
      </c>
      <c r="E35">
        <v>117</v>
      </c>
      <c r="F35" t="s">
        <v>16</v>
      </c>
    </row>
    <row r="36" spans="1:6" x14ac:dyDescent="0.3">
      <c r="A36">
        <v>34</v>
      </c>
      <c r="B36">
        <v>13</v>
      </c>
      <c r="C36" s="1">
        <v>44960</v>
      </c>
      <c r="D36" s="2">
        <v>0.54994212962962963</v>
      </c>
      <c r="E36">
        <v>129</v>
      </c>
      <c r="F36" t="s">
        <v>17</v>
      </c>
    </row>
    <row r="37" spans="1:6" x14ac:dyDescent="0.3">
      <c r="A37">
        <v>35</v>
      </c>
      <c r="B37">
        <v>14</v>
      </c>
      <c r="C37" s="1">
        <v>44961</v>
      </c>
      <c r="D37" s="2">
        <v>0.55160879629629633</v>
      </c>
      <c r="E37">
        <v>114</v>
      </c>
      <c r="F37" t="s">
        <v>21</v>
      </c>
    </row>
    <row r="38" spans="1:6" x14ac:dyDescent="0.3">
      <c r="A38">
        <v>36</v>
      </c>
      <c r="B38">
        <v>15</v>
      </c>
      <c r="C38" s="1">
        <v>44962</v>
      </c>
      <c r="D38" s="2">
        <v>0.56458333333333333</v>
      </c>
      <c r="E38">
        <v>107</v>
      </c>
      <c r="F38" t="s">
        <v>32</v>
      </c>
    </row>
    <row r="39" spans="1:6" x14ac:dyDescent="0.3">
      <c r="A39">
        <v>37</v>
      </c>
      <c r="B39">
        <v>15</v>
      </c>
      <c r="C39" s="1">
        <v>44963</v>
      </c>
      <c r="D39" s="2">
        <v>0.56458333333333333</v>
      </c>
      <c r="E39">
        <v>124</v>
      </c>
      <c r="F39" t="s">
        <v>15</v>
      </c>
    </row>
    <row r="40" spans="1:6" x14ac:dyDescent="0.3">
      <c r="A40">
        <v>38</v>
      </c>
      <c r="B40">
        <v>15</v>
      </c>
      <c r="C40" s="1">
        <v>44964</v>
      </c>
      <c r="D40" s="2">
        <v>0.56458333333333333</v>
      </c>
      <c r="E40">
        <v>121</v>
      </c>
      <c r="F40" t="s">
        <v>33</v>
      </c>
    </row>
    <row r="41" spans="1:6" x14ac:dyDescent="0.3">
      <c r="A41">
        <v>39</v>
      </c>
      <c r="B41">
        <v>15</v>
      </c>
      <c r="C41" s="1">
        <v>44965</v>
      </c>
      <c r="D41" s="2">
        <v>0.56458333333333333</v>
      </c>
      <c r="E41">
        <v>114</v>
      </c>
      <c r="F41" t="s">
        <v>21</v>
      </c>
    </row>
    <row r="42" spans="1:6" x14ac:dyDescent="0.3">
      <c r="A42">
        <v>40</v>
      </c>
      <c r="B42">
        <v>16</v>
      </c>
      <c r="C42" s="1">
        <v>44966</v>
      </c>
      <c r="D42" s="2">
        <v>0.56535879629629626</v>
      </c>
      <c r="E42">
        <v>125</v>
      </c>
      <c r="F42" t="s">
        <v>34</v>
      </c>
    </row>
    <row r="43" spans="1:6" x14ac:dyDescent="0.3">
      <c r="A43">
        <v>41</v>
      </c>
      <c r="B43">
        <v>16</v>
      </c>
      <c r="C43" s="1">
        <v>44967</v>
      </c>
      <c r="D43" s="2">
        <v>0.56535879629629626</v>
      </c>
      <c r="E43">
        <v>111</v>
      </c>
      <c r="F43" t="s">
        <v>35</v>
      </c>
    </row>
    <row r="44" spans="1:6" x14ac:dyDescent="0.3">
      <c r="A44">
        <v>42</v>
      </c>
      <c r="B44">
        <v>16</v>
      </c>
      <c r="C44" s="1">
        <v>44968</v>
      </c>
      <c r="D44" s="2">
        <v>0.56535879629629626</v>
      </c>
      <c r="E44">
        <v>106</v>
      </c>
      <c r="F44" t="s">
        <v>18</v>
      </c>
    </row>
    <row r="45" spans="1:6" x14ac:dyDescent="0.3">
      <c r="A45">
        <v>43</v>
      </c>
      <c r="B45">
        <v>17</v>
      </c>
      <c r="C45" s="1">
        <v>44969</v>
      </c>
      <c r="D45" s="2">
        <v>0.57847222222222228</v>
      </c>
      <c r="E45">
        <v>101</v>
      </c>
      <c r="F45" t="s">
        <v>20</v>
      </c>
    </row>
    <row r="46" spans="1:6" x14ac:dyDescent="0.3">
      <c r="A46">
        <v>44</v>
      </c>
      <c r="B46">
        <v>17</v>
      </c>
      <c r="C46" s="1">
        <v>44970</v>
      </c>
      <c r="D46" s="2">
        <v>0.57847222222222228</v>
      </c>
      <c r="E46">
        <v>116</v>
      </c>
      <c r="F46" t="s">
        <v>36</v>
      </c>
    </row>
    <row r="47" spans="1:6" x14ac:dyDescent="0.3">
      <c r="A47">
        <v>45</v>
      </c>
      <c r="B47">
        <v>17</v>
      </c>
      <c r="C47" s="1">
        <v>44971</v>
      </c>
      <c r="D47" s="2">
        <v>0.57847222222222228</v>
      </c>
      <c r="E47">
        <v>124</v>
      </c>
      <c r="F47" t="s">
        <v>15</v>
      </c>
    </row>
    <row r="48" spans="1:6" x14ac:dyDescent="0.3">
      <c r="A48">
        <v>46</v>
      </c>
      <c r="B48">
        <v>17</v>
      </c>
      <c r="C48" s="1">
        <v>44972</v>
      </c>
      <c r="D48" s="2">
        <v>0.57847222222222228</v>
      </c>
      <c r="E48">
        <v>125</v>
      </c>
      <c r="F48" t="s">
        <v>34</v>
      </c>
    </row>
    <row r="49" spans="1:6" x14ac:dyDescent="0.3">
      <c r="A49">
        <v>47</v>
      </c>
      <c r="B49">
        <v>17</v>
      </c>
      <c r="C49" s="1">
        <v>44973</v>
      </c>
      <c r="D49" s="2">
        <v>0.57847222222222228</v>
      </c>
      <c r="E49">
        <v>117</v>
      </c>
      <c r="F49" t="s">
        <v>16</v>
      </c>
    </row>
    <row r="50" spans="1:6" x14ac:dyDescent="0.3">
      <c r="A50">
        <v>48</v>
      </c>
      <c r="B50">
        <v>17</v>
      </c>
      <c r="C50" s="1">
        <v>44974</v>
      </c>
      <c r="D50" s="2">
        <v>0.57847222222222228</v>
      </c>
      <c r="E50">
        <v>127</v>
      </c>
      <c r="F50" t="s">
        <v>37</v>
      </c>
    </row>
    <row r="51" spans="1:6" x14ac:dyDescent="0.3">
      <c r="A51">
        <v>49</v>
      </c>
      <c r="B51">
        <v>17</v>
      </c>
      <c r="C51" s="1">
        <v>44975</v>
      </c>
      <c r="D51" s="2">
        <v>0.57847222222222228</v>
      </c>
      <c r="E51">
        <v>128</v>
      </c>
      <c r="F51" t="s">
        <v>38</v>
      </c>
    </row>
    <row r="52" spans="1:6" x14ac:dyDescent="0.3">
      <c r="A52">
        <v>50</v>
      </c>
      <c r="B52">
        <v>17</v>
      </c>
      <c r="C52" s="1">
        <v>44976</v>
      </c>
      <c r="D52" s="2">
        <v>0.57847222222222228</v>
      </c>
      <c r="E52">
        <v>129</v>
      </c>
      <c r="F52" t="s">
        <v>17</v>
      </c>
    </row>
    <row r="53" spans="1:6" x14ac:dyDescent="0.3">
      <c r="A53">
        <v>51</v>
      </c>
      <c r="B53">
        <v>17</v>
      </c>
      <c r="C53" s="1">
        <v>44977</v>
      </c>
      <c r="D53" s="2">
        <v>0.57847222222222228</v>
      </c>
      <c r="E53">
        <v>118</v>
      </c>
      <c r="F53" t="s">
        <v>39</v>
      </c>
    </row>
    <row r="54" spans="1:6" x14ac:dyDescent="0.3">
      <c r="A54">
        <v>52</v>
      </c>
      <c r="B54">
        <v>17</v>
      </c>
      <c r="C54" s="1">
        <v>44978</v>
      </c>
      <c r="D54" s="2">
        <v>0.57847222222222228</v>
      </c>
      <c r="E54">
        <v>131</v>
      </c>
      <c r="F54" t="s">
        <v>40</v>
      </c>
    </row>
    <row r="55" spans="1:6" x14ac:dyDescent="0.3">
      <c r="A55">
        <v>53</v>
      </c>
      <c r="B55">
        <v>18</v>
      </c>
      <c r="C55" s="1">
        <v>44979</v>
      </c>
      <c r="D55" s="2">
        <v>0.58134259259259258</v>
      </c>
      <c r="E55">
        <v>111</v>
      </c>
      <c r="F55" t="s">
        <v>35</v>
      </c>
    </row>
    <row r="56" spans="1:6" x14ac:dyDescent="0.3">
      <c r="A56">
        <v>54</v>
      </c>
      <c r="B56">
        <v>19</v>
      </c>
      <c r="C56" s="1">
        <v>44980</v>
      </c>
      <c r="D56" s="2">
        <v>0.5827430555555555</v>
      </c>
      <c r="E56">
        <v>110</v>
      </c>
      <c r="F56" t="s">
        <v>24</v>
      </c>
    </row>
    <row r="57" spans="1:6" x14ac:dyDescent="0.3">
      <c r="A57">
        <v>55</v>
      </c>
      <c r="B57">
        <v>19</v>
      </c>
      <c r="C57" s="1">
        <v>44981</v>
      </c>
      <c r="D57" s="2">
        <v>0.5827430555555555</v>
      </c>
      <c r="E57">
        <v>120</v>
      </c>
      <c r="F57" t="s">
        <v>41</v>
      </c>
    </row>
    <row r="58" spans="1:6" x14ac:dyDescent="0.3">
      <c r="A58">
        <v>56</v>
      </c>
      <c r="B58">
        <v>20</v>
      </c>
      <c r="C58" s="1">
        <v>44982</v>
      </c>
      <c r="D58" s="2">
        <v>0.58550925925925923</v>
      </c>
      <c r="E58">
        <v>107</v>
      </c>
      <c r="F58" t="s">
        <v>32</v>
      </c>
    </row>
    <row r="59" spans="1:6" x14ac:dyDescent="0.3">
      <c r="A59">
        <v>57</v>
      </c>
      <c r="B59">
        <v>20</v>
      </c>
      <c r="C59" s="1">
        <v>44983</v>
      </c>
      <c r="D59" s="2">
        <v>0.58550925925925923</v>
      </c>
      <c r="E59">
        <v>124</v>
      </c>
      <c r="F59" t="s">
        <v>15</v>
      </c>
    </row>
    <row r="60" spans="1:6" x14ac:dyDescent="0.3">
      <c r="A60">
        <v>58</v>
      </c>
      <c r="B60">
        <v>21</v>
      </c>
      <c r="C60" s="1">
        <v>44984</v>
      </c>
      <c r="D60" s="2">
        <v>0.59339120370370368</v>
      </c>
      <c r="E60">
        <v>110</v>
      </c>
      <c r="F60" t="s">
        <v>24</v>
      </c>
    </row>
    <row r="61" spans="1:6" x14ac:dyDescent="0.3">
      <c r="A61">
        <v>59</v>
      </c>
      <c r="B61">
        <v>22</v>
      </c>
      <c r="C61" s="1">
        <v>44985</v>
      </c>
      <c r="D61" s="2">
        <v>0.59474537037037034</v>
      </c>
      <c r="E61">
        <v>124</v>
      </c>
      <c r="F61" t="s">
        <v>15</v>
      </c>
    </row>
    <row r="62" spans="1:6" x14ac:dyDescent="0.3">
      <c r="A62">
        <v>60</v>
      </c>
      <c r="B62">
        <v>22</v>
      </c>
      <c r="C62" s="1">
        <v>44986</v>
      </c>
      <c r="D62" s="2">
        <v>0.59474537037037034</v>
      </c>
      <c r="E62">
        <v>110</v>
      </c>
      <c r="F62" t="s">
        <v>24</v>
      </c>
    </row>
    <row r="63" spans="1:6" x14ac:dyDescent="0.3">
      <c r="A63">
        <v>61</v>
      </c>
      <c r="B63">
        <v>22</v>
      </c>
      <c r="C63" s="1">
        <v>44987</v>
      </c>
      <c r="D63" s="2">
        <v>0.59474537037037034</v>
      </c>
      <c r="E63">
        <v>105</v>
      </c>
      <c r="F63" t="s">
        <v>28</v>
      </c>
    </row>
    <row r="64" spans="1:6" x14ac:dyDescent="0.3">
      <c r="A64">
        <v>62</v>
      </c>
      <c r="B64">
        <v>23</v>
      </c>
      <c r="C64" s="1">
        <v>44988</v>
      </c>
      <c r="D64" s="2">
        <v>0.5965625</v>
      </c>
      <c r="E64">
        <v>105</v>
      </c>
      <c r="F64" t="s">
        <v>28</v>
      </c>
    </row>
    <row r="65" spans="1:6" x14ac:dyDescent="0.3">
      <c r="A65">
        <v>63</v>
      </c>
      <c r="B65">
        <v>24</v>
      </c>
      <c r="C65" s="1">
        <v>44989</v>
      </c>
      <c r="D65" s="2">
        <v>0.59931712962962957</v>
      </c>
      <c r="E65">
        <v>101</v>
      </c>
      <c r="F65" t="s">
        <v>20</v>
      </c>
    </row>
    <row r="66" spans="1:6" x14ac:dyDescent="0.3">
      <c r="A66">
        <v>64</v>
      </c>
      <c r="B66">
        <v>24</v>
      </c>
      <c r="C66" s="1">
        <v>44990</v>
      </c>
      <c r="D66" s="2">
        <v>0.59931712962962957</v>
      </c>
      <c r="E66">
        <v>110</v>
      </c>
      <c r="F66" t="s">
        <v>24</v>
      </c>
    </row>
    <row r="67" spans="1:6" x14ac:dyDescent="0.3">
      <c r="A67">
        <v>65</v>
      </c>
      <c r="B67">
        <v>24</v>
      </c>
      <c r="C67" s="1">
        <v>44991</v>
      </c>
      <c r="D67" s="2">
        <v>0.59931712962962957</v>
      </c>
      <c r="E67">
        <v>113</v>
      </c>
      <c r="F67" t="s">
        <v>30</v>
      </c>
    </row>
    <row r="68" spans="1:6" x14ac:dyDescent="0.3">
      <c r="A68">
        <v>66</v>
      </c>
      <c r="B68">
        <v>24</v>
      </c>
      <c r="C68" s="1">
        <v>44992</v>
      </c>
      <c r="D68" s="2">
        <v>0.59931712962962957</v>
      </c>
      <c r="E68">
        <v>119</v>
      </c>
      <c r="F68" t="s">
        <v>19</v>
      </c>
    </row>
    <row r="69" spans="1:6" x14ac:dyDescent="0.3">
      <c r="A69">
        <v>67</v>
      </c>
      <c r="B69">
        <v>25</v>
      </c>
      <c r="C69" s="1">
        <v>44993</v>
      </c>
      <c r="D69" s="2">
        <v>0.61439814814814819</v>
      </c>
      <c r="E69">
        <v>120</v>
      </c>
      <c r="F69" t="s">
        <v>41</v>
      </c>
    </row>
    <row r="70" spans="1:6" x14ac:dyDescent="0.3">
      <c r="A70">
        <v>68</v>
      </c>
      <c r="B70">
        <v>25</v>
      </c>
      <c r="C70" s="1">
        <v>44994</v>
      </c>
      <c r="D70" s="2">
        <v>0.61439814814814819</v>
      </c>
      <c r="E70">
        <v>106</v>
      </c>
      <c r="F70" t="s">
        <v>18</v>
      </c>
    </row>
    <row r="71" spans="1:6" x14ac:dyDescent="0.3">
      <c r="A71">
        <v>69</v>
      </c>
      <c r="B71">
        <v>26</v>
      </c>
      <c r="C71" s="1">
        <v>44995</v>
      </c>
      <c r="D71" s="2">
        <v>0.62113425925925925</v>
      </c>
      <c r="E71">
        <v>108</v>
      </c>
      <c r="F71" t="s">
        <v>14</v>
      </c>
    </row>
    <row r="72" spans="1:6" x14ac:dyDescent="0.3">
      <c r="A72">
        <v>70</v>
      </c>
      <c r="B72">
        <v>26</v>
      </c>
      <c r="C72" s="1">
        <v>44996</v>
      </c>
      <c r="D72" s="2">
        <v>0.62113425925925925</v>
      </c>
      <c r="E72">
        <v>132</v>
      </c>
      <c r="F72" t="s">
        <v>27</v>
      </c>
    </row>
    <row r="73" spans="1:6" x14ac:dyDescent="0.3">
      <c r="A73">
        <v>71</v>
      </c>
      <c r="B73">
        <v>27</v>
      </c>
      <c r="C73" s="1">
        <v>44997</v>
      </c>
      <c r="D73" s="2">
        <v>0.63283564814814819</v>
      </c>
      <c r="E73">
        <v>101</v>
      </c>
      <c r="F73" t="s">
        <v>20</v>
      </c>
    </row>
    <row r="74" spans="1:6" x14ac:dyDescent="0.3">
      <c r="A74">
        <v>72</v>
      </c>
      <c r="B74">
        <v>27</v>
      </c>
      <c r="C74" s="1">
        <v>44998</v>
      </c>
      <c r="D74" s="2">
        <v>0.63283564814814819</v>
      </c>
      <c r="E74">
        <v>108</v>
      </c>
      <c r="F74" t="s">
        <v>14</v>
      </c>
    </row>
    <row r="75" spans="1:6" x14ac:dyDescent="0.3">
      <c r="A75">
        <v>73</v>
      </c>
      <c r="B75">
        <v>27</v>
      </c>
      <c r="C75" s="1">
        <v>44999</v>
      </c>
      <c r="D75" s="2">
        <v>0.63283564814814819</v>
      </c>
      <c r="E75">
        <v>131</v>
      </c>
      <c r="F75" t="s">
        <v>40</v>
      </c>
    </row>
    <row r="76" spans="1:6" x14ac:dyDescent="0.3">
      <c r="A76">
        <v>74</v>
      </c>
      <c r="B76">
        <v>28</v>
      </c>
      <c r="C76" s="1">
        <v>45000</v>
      </c>
      <c r="D76" s="2">
        <v>0.64983796296296292</v>
      </c>
      <c r="E76">
        <v>103</v>
      </c>
      <c r="F76" t="s">
        <v>42</v>
      </c>
    </row>
    <row r="77" spans="1:6" x14ac:dyDescent="0.3">
      <c r="A77">
        <v>75</v>
      </c>
      <c r="B77">
        <v>29</v>
      </c>
      <c r="C77" s="1">
        <v>45001</v>
      </c>
      <c r="D77" s="2">
        <v>0.65348379629629627</v>
      </c>
      <c r="E77">
        <v>126</v>
      </c>
      <c r="F77" t="s">
        <v>23</v>
      </c>
    </row>
    <row r="78" spans="1:6" x14ac:dyDescent="0.3">
      <c r="A78">
        <v>76</v>
      </c>
      <c r="B78">
        <v>30</v>
      </c>
      <c r="C78" s="1">
        <v>45002</v>
      </c>
      <c r="D78" s="2">
        <v>0.65376157407407409</v>
      </c>
      <c r="E78">
        <v>106</v>
      </c>
      <c r="F78" t="s">
        <v>18</v>
      </c>
    </row>
    <row r="79" spans="1:6" x14ac:dyDescent="0.3">
      <c r="A79">
        <v>77</v>
      </c>
      <c r="B79">
        <v>31</v>
      </c>
      <c r="C79" s="1">
        <v>45003</v>
      </c>
      <c r="D79" s="2">
        <v>0.65993055555555558</v>
      </c>
      <c r="E79">
        <v>129</v>
      </c>
      <c r="F79" t="s">
        <v>17</v>
      </c>
    </row>
    <row r="80" spans="1:6" x14ac:dyDescent="0.3">
      <c r="A80">
        <v>78</v>
      </c>
      <c r="B80">
        <v>31</v>
      </c>
      <c r="C80" s="1">
        <v>45004</v>
      </c>
      <c r="D80" s="2">
        <v>0.65993055555555558</v>
      </c>
      <c r="E80">
        <v>113</v>
      </c>
      <c r="F80" t="s">
        <v>30</v>
      </c>
    </row>
    <row r="81" spans="1:6" x14ac:dyDescent="0.3">
      <c r="A81">
        <v>79</v>
      </c>
      <c r="B81">
        <v>32</v>
      </c>
      <c r="C81" s="1">
        <v>45005</v>
      </c>
      <c r="D81" s="2">
        <v>0.6620138888888889</v>
      </c>
      <c r="E81">
        <v>107</v>
      </c>
      <c r="F81" t="s">
        <v>32</v>
      </c>
    </row>
    <row r="82" spans="1:6" x14ac:dyDescent="0.3">
      <c r="A82">
        <v>80</v>
      </c>
      <c r="B82">
        <v>32</v>
      </c>
      <c r="C82" s="1">
        <v>45006</v>
      </c>
      <c r="D82" s="2">
        <v>0.6620138888888889</v>
      </c>
      <c r="E82">
        <v>126</v>
      </c>
      <c r="F82" t="s">
        <v>23</v>
      </c>
    </row>
    <row r="83" spans="1:6" x14ac:dyDescent="0.3">
      <c r="A83">
        <v>81</v>
      </c>
      <c r="B83">
        <v>32</v>
      </c>
      <c r="C83" s="1">
        <v>45007</v>
      </c>
      <c r="D83" s="2">
        <v>0.6620138888888889</v>
      </c>
      <c r="E83">
        <v>110</v>
      </c>
      <c r="F83" t="s">
        <v>24</v>
      </c>
    </row>
    <row r="84" spans="1:6" x14ac:dyDescent="0.3">
      <c r="A84">
        <v>82</v>
      </c>
      <c r="B84">
        <v>32</v>
      </c>
      <c r="C84" s="1">
        <v>45008</v>
      </c>
      <c r="D84" s="2">
        <v>0.6620138888888889</v>
      </c>
      <c r="E84">
        <v>117</v>
      </c>
      <c r="F84" t="s">
        <v>16</v>
      </c>
    </row>
    <row r="85" spans="1:6" x14ac:dyDescent="0.3">
      <c r="A85">
        <v>83</v>
      </c>
      <c r="B85">
        <v>33</v>
      </c>
      <c r="C85" s="1">
        <v>45009</v>
      </c>
      <c r="D85" s="2">
        <v>0.66259259259259262</v>
      </c>
      <c r="E85">
        <v>101</v>
      </c>
      <c r="F85" t="s">
        <v>20</v>
      </c>
    </row>
    <row r="86" spans="1:6" x14ac:dyDescent="0.3">
      <c r="A86">
        <v>84</v>
      </c>
      <c r="B86">
        <v>33</v>
      </c>
      <c r="C86" s="1">
        <v>45010</v>
      </c>
      <c r="D86" s="2">
        <v>0.66259259259259262</v>
      </c>
      <c r="E86">
        <v>126</v>
      </c>
      <c r="F86" t="s">
        <v>23</v>
      </c>
    </row>
    <row r="87" spans="1:6" x14ac:dyDescent="0.3">
      <c r="A87">
        <v>85</v>
      </c>
      <c r="B87">
        <v>34</v>
      </c>
      <c r="C87" s="1">
        <v>45011</v>
      </c>
      <c r="D87" s="2">
        <v>0.6814930555555555</v>
      </c>
      <c r="E87">
        <v>114</v>
      </c>
      <c r="F87" t="s">
        <v>21</v>
      </c>
    </row>
    <row r="88" spans="1:6" x14ac:dyDescent="0.3">
      <c r="A88">
        <v>86</v>
      </c>
      <c r="B88">
        <v>35</v>
      </c>
      <c r="C88" s="1">
        <v>45012</v>
      </c>
      <c r="D88" s="2">
        <v>0.68893518518518515</v>
      </c>
      <c r="E88">
        <v>126</v>
      </c>
      <c r="F88" t="s">
        <v>23</v>
      </c>
    </row>
    <row r="89" spans="1:6" x14ac:dyDescent="0.3">
      <c r="A89">
        <v>87</v>
      </c>
      <c r="B89">
        <v>35</v>
      </c>
      <c r="C89" s="1">
        <v>45013</v>
      </c>
      <c r="D89" s="2">
        <v>0.68893518518518515</v>
      </c>
      <c r="E89">
        <v>112</v>
      </c>
      <c r="F89" t="s">
        <v>43</v>
      </c>
    </row>
    <row r="90" spans="1:6" x14ac:dyDescent="0.3">
      <c r="A90">
        <v>88</v>
      </c>
      <c r="B90">
        <v>35</v>
      </c>
      <c r="C90" s="1">
        <v>45014</v>
      </c>
      <c r="D90" s="2">
        <v>0.68893518518518515</v>
      </c>
      <c r="E90">
        <v>113</v>
      </c>
      <c r="F90" t="s">
        <v>30</v>
      </c>
    </row>
    <row r="91" spans="1:6" x14ac:dyDescent="0.3">
      <c r="A91">
        <v>89</v>
      </c>
      <c r="B91">
        <v>35</v>
      </c>
      <c r="C91" s="1">
        <v>45015</v>
      </c>
      <c r="D91" s="2">
        <v>0.68893518518518515</v>
      </c>
      <c r="E91">
        <v>106</v>
      </c>
      <c r="F91" t="s">
        <v>18</v>
      </c>
    </row>
    <row r="92" spans="1:6" x14ac:dyDescent="0.3">
      <c r="A92">
        <v>90</v>
      </c>
      <c r="B92">
        <v>36</v>
      </c>
      <c r="C92" s="1">
        <v>45016</v>
      </c>
      <c r="D92" s="2">
        <v>0.70427083333333329</v>
      </c>
      <c r="E92">
        <v>101</v>
      </c>
      <c r="F92" t="s">
        <v>20</v>
      </c>
    </row>
    <row r="93" spans="1:6" x14ac:dyDescent="0.3">
      <c r="A93">
        <v>91</v>
      </c>
      <c r="B93">
        <v>36</v>
      </c>
      <c r="C93" s="1">
        <v>45017</v>
      </c>
      <c r="D93" s="2">
        <v>0.70427083333333329</v>
      </c>
      <c r="E93">
        <v>108</v>
      </c>
      <c r="F93" t="s">
        <v>14</v>
      </c>
    </row>
    <row r="94" spans="1:6" x14ac:dyDescent="0.3">
      <c r="A94">
        <v>92</v>
      </c>
      <c r="B94">
        <v>37</v>
      </c>
      <c r="C94" s="1">
        <v>45018</v>
      </c>
      <c r="D94" s="2">
        <v>0.70565972222222217</v>
      </c>
      <c r="E94">
        <v>117</v>
      </c>
      <c r="F94" t="s">
        <v>16</v>
      </c>
    </row>
    <row r="95" spans="1:6" x14ac:dyDescent="0.3">
      <c r="A95">
        <v>93</v>
      </c>
      <c r="B95">
        <v>37</v>
      </c>
      <c r="C95" s="1">
        <v>45019</v>
      </c>
      <c r="D95" s="2">
        <v>0.70565972222222217</v>
      </c>
      <c r="E95">
        <v>129</v>
      </c>
      <c r="F95" t="s">
        <v>17</v>
      </c>
    </row>
    <row r="96" spans="1:6" x14ac:dyDescent="0.3">
      <c r="A96">
        <v>94</v>
      </c>
      <c r="B96">
        <v>38</v>
      </c>
      <c r="C96" s="1">
        <v>45020</v>
      </c>
      <c r="D96" s="2">
        <v>0.7104166666666667</v>
      </c>
      <c r="E96">
        <v>109</v>
      </c>
      <c r="F96" t="s">
        <v>12</v>
      </c>
    </row>
    <row r="97" spans="1:6" x14ac:dyDescent="0.3">
      <c r="A97">
        <v>95</v>
      </c>
      <c r="B97">
        <v>38</v>
      </c>
      <c r="C97" s="1">
        <v>45021</v>
      </c>
      <c r="D97" s="2">
        <v>0.7104166666666667</v>
      </c>
      <c r="E97">
        <v>110</v>
      </c>
      <c r="F97" t="s">
        <v>24</v>
      </c>
    </row>
    <row r="98" spans="1:6" x14ac:dyDescent="0.3">
      <c r="A98">
        <v>96</v>
      </c>
      <c r="B98">
        <v>39</v>
      </c>
      <c r="C98" s="1">
        <v>45022</v>
      </c>
      <c r="D98" s="2">
        <v>0.71346064814814814</v>
      </c>
      <c r="E98">
        <v>117</v>
      </c>
      <c r="F98" t="s">
        <v>16</v>
      </c>
    </row>
    <row r="99" spans="1:6" x14ac:dyDescent="0.3">
      <c r="A99">
        <v>97</v>
      </c>
      <c r="B99">
        <v>40</v>
      </c>
      <c r="C99" s="1">
        <v>45023</v>
      </c>
      <c r="D99" s="2">
        <v>0.71847222222222218</v>
      </c>
      <c r="E99">
        <v>125</v>
      </c>
      <c r="F99" t="s">
        <v>34</v>
      </c>
    </row>
    <row r="100" spans="1:6" x14ac:dyDescent="0.3">
      <c r="A100">
        <v>98</v>
      </c>
      <c r="B100">
        <v>40</v>
      </c>
      <c r="C100" s="1">
        <v>45024</v>
      </c>
      <c r="D100" s="2">
        <v>0.71847222222222218</v>
      </c>
      <c r="E100">
        <v>105</v>
      </c>
      <c r="F100" t="s">
        <v>28</v>
      </c>
    </row>
    <row r="101" spans="1:6" x14ac:dyDescent="0.3">
      <c r="A101">
        <v>99</v>
      </c>
      <c r="B101">
        <v>41</v>
      </c>
      <c r="C101" s="1">
        <v>45025</v>
      </c>
      <c r="D101" s="2">
        <v>0.71898148148148144</v>
      </c>
      <c r="E101">
        <v>125</v>
      </c>
      <c r="F101" t="s">
        <v>34</v>
      </c>
    </row>
    <row r="102" spans="1:6" x14ac:dyDescent="0.3">
      <c r="A102">
        <v>100</v>
      </c>
      <c r="B102">
        <v>41</v>
      </c>
      <c r="C102" s="1">
        <v>45026</v>
      </c>
      <c r="D102" s="2">
        <v>0.71898148148148144</v>
      </c>
      <c r="E102">
        <v>126</v>
      </c>
      <c r="F102" t="s">
        <v>23</v>
      </c>
    </row>
    <row r="103" spans="1:6" x14ac:dyDescent="0.3">
      <c r="A103">
        <v>101</v>
      </c>
      <c r="B103">
        <v>42</v>
      </c>
      <c r="C103" s="1">
        <v>45027</v>
      </c>
      <c r="D103" s="2">
        <v>0.72788194444444443</v>
      </c>
      <c r="E103">
        <v>107</v>
      </c>
      <c r="F103" t="s">
        <v>32</v>
      </c>
    </row>
    <row r="104" spans="1:6" x14ac:dyDescent="0.3">
      <c r="A104">
        <v>102</v>
      </c>
      <c r="B104">
        <v>42</v>
      </c>
      <c r="C104" s="1">
        <v>45028</v>
      </c>
      <c r="D104" s="2">
        <v>0.72788194444444443</v>
      </c>
      <c r="E104">
        <v>124</v>
      </c>
      <c r="F104" t="s">
        <v>15</v>
      </c>
    </row>
    <row r="105" spans="1:6" x14ac:dyDescent="0.3">
      <c r="A105">
        <v>103</v>
      </c>
      <c r="B105">
        <v>42</v>
      </c>
      <c r="C105" s="1">
        <v>45029</v>
      </c>
      <c r="D105" s="2">
        <v>0.72788194444444443</v>
      </c>
      <c r="E105">
        <v>129</v>
      </c>
      <c r="F105" t="s">
        <v>17</v>
      </c>
    </row>
    <row r="106" spans="1:6" x14ac:dyDescent="0.3">
      <c r="A106">
        <v>104</v>
      </c>
      <c r="B106">
        <v>42</v>
      </c>
      <c r="C106" s="1">
        <v>45030</v>
      </c>
      <c r="D106" s="2">
        <v>0.72788194444444443</v>
      </c>
      <c r="E106">
        <v>118</v>
      </c>
      <c r="F106" t="s">
        <v>39</v>
      </c>
    </row>
    <row r="107" spans="1:6" x14ac:dyDescent="0.3">
      <c r="A107">
        <v>105</v>
      </c>
      <c r="B107">
        <v>43</v>
      </c>
      <c r="C107" s="1">
        <v>45031</v>
      </c>
      <c r="D107" s="2">
        <v>0.73511574074074071</v>
      </c>
      <c r="E107">
        <v>103</v>
      </c>
      <c r="F107" t="s">
        <v>42</v>
      </c>
    </row>
    <row r="108" spans="1:6" x14ac:dyDescent="0.3">
      <c r="A108">
        <v>106</v>
      </c>
      <c r="B108">
        <v>43</v>
      </c>
      <c r="C108" s="1">
        <v>45032</v>
      </c>
      <c r="D108" s="2">
        <v>0.73511574074074071</v>
      </c>
      <c r="E108">
        <v>117</v>
      </c>
      <c r="F108" t="s">
        <v>16</v>
      </c>
    </row>
    <row r="109" spans="1:6" x14ac:dyDescent="0.3">
      <c r="A109">
        <v>107</v>
      </c>
      <c r="B109">
        <v>43</v>
      </c>
      <c r="C109" s="1">
        <v>45033</v>
      </c>
      <c r="D109" s="2">
        <v>0.73511574074074071</v>
      </c>
      <c r="E109">
        <v>118</v>
      </c>
      <c r="F109" t="s">
        <v>39</v>
      </c>
    </row>
    <row r="110" spans="1:6" x14ac:dyDescent="0.3">
      <c r="A110">
        <v>108</v>
      </c>
      <c r="B110">
        <v>44</v>
      </c>
      <c r="C110" s="1">
        <v>45034</v>
      </c>
      <c r="D110" s="2">
        <v>0.74606481481481479</v>
      </c>
      <c r="E110">
        <v>130</v>
      </c>
      <c r="F110" t="s">
        <v>26</v>
      </c>
    </row>
    <row r="111" spans="1:6" x14ac:dyDescent="0.3">
      <c r="A111">
        <v>109</v>
      </c>
      <c r="B111">
        <v>45</v>
      </c>
      <c r="C111" s="1">
        <v>45035</v>
      </c>
      <c r="D111" s="2">
        <v>0.74708333333333332</v>
      </c>
      <c r="E111">
        <v>125</v>
      </c>
      <c r="F111" t="s">
        <v>34</v>
      </c>
    </row>
    <row r="112" spans="1:6" x14ac:dyDescent="0.3">
      <c r="A112">
        <v>110</v>
      </c>
      <c r="B112">
        <v>45</v>
      </c>
      <c r="C112" s="1">
        <v>45036</v>
      </c>
      <c r="D112" s="2">
        <v>0.74708333333333332</v>
      </c>
      <c r="E112">
        <v>109</v>
      </c>
      <c r="F112" t="s">
        <v>12</v>
      </c>
    </row>
    <row r="113" spans="1:6" x14ac:dyDescent="0.3">
      <c r="A113">
        <v>111</v>
      </c>
      <c r="B113">
        <v>45</v>
      </c>
      <c r="C113" s="1">
        <v>45037</v>
      </c>
      <c r="D113" s="2">
        <v>0.74708333333333332</v>
      </c>
      <c r="E113">
        <v>106</v>
      </c>
      <c r="F113" t="s">
        <v>18</v>
      </c>
    </row>
    <row r="114" spans="1:6" x14ac:dyDescent="0.3">
      <c r="A114">
        <v>112</v>
      </c>
      <c r="B114">
        <v>46</v>
      </c>
      <c r="C114" s="1">
        <v>45038</v>
      </c>
      <c r="D114" s="2">
        <v>0.76795138888888892</v>
      </c>
      <c r="E114">
        <v>104</v>
      </c>
      <c r="F114" t="s">
        <v>31</v>
      </c>
    </row>
    <row r="115" spans="1:6" x14ac:dyDescent="0.3">
      <c r="A115">
        <v>113</v>
      </c>
      <c r="B115">
        <v>46</v>
      </c>
      <c r="C115" s="1">
        <v>45039</v>
      </c>
      <c r="D115" s="2">
        <v>0.76795138888888892</v>
      </c>
      <c r="E115">
        <v>108</v>
      </c>
      <c r="F115" t="s">
        <v>14</v>
      </c>
    </row>
    <row r="116" spans="1:6" x14ac:dyDescent="0.3">
      <c r="A116">
        <v>114</v>
      </c>
      <c r="B116">
        <v>46</v>
      </c>
      <c r="C116" s="1">
        <v>45040</v>
      </c>
      <c r="D116" s="2">
        <v>0.76795138888888892</v>
      </c>
      <c r="E116">
        <v>106</v>
      </c>
      <c r="F116" t="s">
        <v>18</v>
      </c>
    </row>
    <row r="117" spans="1:6" x14ac:dyDescent="0.3">
      <c r="A117">
        <v>115</v>
      </c>
      <c r="B117">
        <v>47</v>
      </c>
      <c r="C117" s="1">
        <v>45041</v>
      </c>
      <c r="D117" s="2">
        <v>0.76844907407407403</v>
      </c>
      <c r="E117">
        <v>105</v>
      </c>
      <c r="F117" t="s">
        <v>28</v>
      </c>
    </row>
    <row r="118" spans="1:6" x14ac:dyDescent="0.3">
      <c r="A118">
        <v>116</v>
      </c>
      <c r="B118">
        <v>47</v>
      </c>
      <c r="C118" s="1">
        <v>45042</v>
      </c>
      <c r="D118" s="2">
        <v>0.76844907407407403</v>
      </c>
      <c r="E118">
        <v>132</v>
      </c>
      <c r="F118" t="s">
        <v>27</v>
      </c>
    </row>
    <row r="119" spans="1:6" x14ac:dyDescent="0.3">
      <c r="A119">
        <v>117</v>
      </c>
      <c r="B119">
        <v>48</v>
      </c>
      <c r="C119" s="1">
        <v>45043</v>
      </c>
      <c r="D119" s="2">
        <v>0.76854166666666668</v>
      </c>
      <c r="E119">
        <v>104</v>
      </c>
      <c r="F119" t="s">
        <v>31</v>
      </c>
    </row>
    <row r="120" spans="1:6" x14ac:dyDescent="0.3">
      <c r="A120">
        <v>118</v>
      </c>
      <c r="B120">
        <v>48</v>
      </c>
      <c r="C120" s="1">
        <v>45044</v>
      </c>
      <c r="D120" s="2">
        <v>0.76854166666666668</v>
      </c>
      <c r="E120">
        <v>126</v>
      </c>
      <c r="F120" t="s">
        <v>23</v>
      </c>
    </row>
    <row r="121" spans="1:6" x14ac:dyDescent="0.3">
      <c r="A121">
        <v>119</v>
      </c>
      <c r="B121">
        <v>48</v>
      </c>
      <c r="C121" s="1">
        <v>45045</v>
      </c>
      <c r="D121" s="2">
        <v>0.76854166666666668</v>
      </c>
      <c r="E121">
        <v>119</v>
      </c>
      <c r="F121" t="s">
        <v>19</v>
      </c>
    </row>
    <row r="122" spans="1:6" x14ac:dyDescent="0.3">
      <c r="A122">
        <v>120</v>
      </c>
      <c r="B122">
        <v>48</v>
      </c>
      <c r="C122" s="1">
        <v>45046</v>
      </c>
      <c r="D122" s="2">
        <v>0.76854166666666668</v>
      </c>
      <c r="E122">
        <v>122</v>
      </c>
      <c r="F122" t="s">
        <v>25</v>
      </c>
    </row>
    <row r="123" spans="1:6" x14ac:dyDescent="0.3">
      <c r="A123">
        <v>121</v>
      </c>
      <c r="B123">
        <v>49</v>
      </c>
      <c r="C123" s="1">
        <v>45047</v>
      </c>
      <c r="D123" s="2">
        <v>0.7729166666666667</v>
      </c>
      <c r="E123">
        <v>120</v>
      </c>
      <c r="F12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3304-2007-4346-A4F5-D605C74CC626}">
  <dimension ref="A1:L123"/>
  <sheetViews>
    <sheetView topLeftCell="A3" workbookViewId="0">
      <selection activeCell="A2" sqref="A2:A123"/>
    </sheetView>
  </sheetViews>
  <sheetFormatPr defaultRowHeight="14.4" x14ac:dyDescent="0.3"/>
  <cols>
    <col min="1" max="1" width="26.109375" customWidth="1"/>
    <col min="2" max="2" width="17.44140625" customWidth="1"/>
    <col min="3" max="3" width="20.88671875" customWidth="1"/>
    <col min="4" max="4" width="13.77734375" style="3" customWidth="1"/>
    <col min="5" max="5" width="9.109375" customWidth="1"/>
    <col min="6" max="6" width="19" bestFit="1" customWidth="1"/>
    <col min="7" max="7" width="10.21875" customWidth="1"/>
    <col min="9" max="9" width="9.88671875" customWidth="1"/>
    <col min="11" max="11" width="13.21875" customWidth="1"/>
  </cols>
  <sheetData>
    <row r="1" spans="1:12" ht="21" x14ac:dyDescent="0.4">
      <c r="A1" s="4"/>
    </row>
    <row r="2" spans="1:12" x14ac:dyDescent="0.3">
      <c r="A2" t="s">
        <v>0</v>
      </c>
      <c r="B2" t="s">
        <v>1</v>
      </c>
      <c r="C2" t="s">
        <v>2</v>
      </c>
      <c r="D2" s="3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1</v>
      </c>
      <c r="B3">
        <v>1</v>
      </c>
      <c r="C3" s="1">
        <v>44927</v>
      </c>
      <c r="D3" s="3">
        <v>0.4851388888888889</v>
      </c>
      <c r="E3">
        <v>109</v>
      </c>
      <c r="F3" t="s">
        <v>12</v>
      </c>
      <c r="G3" t="str">
        <f>VLOOKUP(E3,menu_items!A:C,3,0)</f>
        <v>Asian</v>
      </c>
      <c r="H3">
        <f>VLOOKUP(E3, menu_items!A:D,4,0)</f>
        <v>17.95</v>
      </c>
      <c r="I3">
        <f>H3</f>
        <v>17.95</v>
      </c>
      <c r="J3" t="str">
        <f>TEXT(C3,"mmm")</f>
        <v>Jan</v>
      </c>
      <c r="K3" t="str">
        <f>TEXT(C3,"dddd")</f>
        <v>Sunday</v>
      </c>
      <c r="L3">
        <f>HOUR(D3)</f>
        <v>11</v>
      </c>
    </row>
    <row r="4" spans="1:12" x14ac:dyDescent="0.3">
      <c r="A4">
        <v>2</v>
      </c>
      <c r="B4">
        <v>2</v>
      </c>
      <c r="C4" s="1">
        <v>44928</v>
      </c>
      <c r="D4" s="3">
        <v>0.49837962962962962</v>
      </c>
      <c r="E4">
        <v>108</v>
      </c>
      <c r="F4" t="s">
        <v>14</v>
      </c>
      <c r="G4" t="str">
        <f>VLOOKUP(E4,menu_items!A:C,3,0)</f>
        <v>Asian</v>
      </c>
      <c r="H4">
        <f>VLOOKUP(E4, menu_items!A:D,4,0)</f>
        <v>14.5</v>
      </c>
      <c r="I4">
        <f t="shared" ref="I4:I67" si="0">H4</f>
        <v>14.5</v>
      </c>
      <c r="J4" t="str">
        <f t="shared" ref="J4:J67" si="1">TEXT(C4,"mmm")</f>
        <v>Jan</v>
      </c>
      <c r="K4" t="str">
        <f t="shared" ref="K4:K67" si="2">TEXT(C4,"dddd")</f>
        <v>Monday</v>
      </c>
      <c r="L4">
        <f t="shared" ref="L4:L67" si="3">HOUR(D4)</f>
        <v>11</v>
      </c>
    </row>
    <row r="5" spans="1:12" x14ac:dyDescent="0.3">
      <c r="A5">
        <v>3</v>
      </c>
      <c r="B5">
        <v>2</v>
      </c>
      <c r="C5" s="1">
        <v>44929</v>
      </c>
      <c r="D5" s="3">
        <v>0.49837962962962962</v>
      </c>
      <c r="E5">
        <v>124</v>
      </c>
      <c r="F5" t="s">
        <v>15</v>
      </c>
      <c r="G5" t="str">
        <f>VLOOKUP(E5,menu_items!A:C,3,0)</f>
        <v>Italian</v>
      </c>
      <c r="H5">
        <f>VLOOKUP(E5, menu_items!A:D,4,0)</f>
        <v>14.5</v>
      </c>
      <c r="I5">
        <f t="shared" si="0"/>
        <v>14.5</v>
      </c>
      <c r="J5" t="str">
        <f t="shared" si="1"/>
        <v>Jan</v>
      </c>
      <c r="K5" t="str">
        <f t="shared" si="2"/>
        <v>Tuesday</v>
      </c>
      <c r="L5">
        <f t="shared" si="3"/>
        <v>11</v>
      </c>
    </row>
    <row r="6" spans="1:12" x14ac:dyDescent="0.3">
      <c r="A6">
        <v>4</v>
      </c>
      <c r="B6">
        <v>2</v>
      </c>
      <c r="C6" s="1">
        <v>44930</v>
      </c>
      <c r="D6" s="3">
        <v>0.49837962962962962</v>
      </c>
      <c r="E6">
        <v>117</v>
      </c>
      <c r="F6" t="s">
        <v>16</v>
      </c>
      <c r="G6" t="str">
        <f>VLOOKUP(E6,menu_items!A:C,3,0)</f>
        <v>Mexican</v>
      </c>
      <c r="H6">
        <f>VLOOKUP(E6, menu_items!A:D,4,0)</f>
        <v>12.95</v>
      </c>
      <c r="I6">
        <f t="shared" si="0"/>
        <v>12.95</v>
      </c>
      <c r="J6" t="str">
        <f t="shared" si="1"/>
        <v>Jan</v>
      </c>
      <c r="K6" t="str">
        <f t="shared" si="2"/>
        <v>Wednesday</v>
      </c>
      <c r="L6">
        <f t="shared" si="3"/>
        <v>11</v>
      </c>
    </row>
    <row r="7" spans="1:12" x14ac:dyDescent="0.3">
      <c r="A7">
        <v>5</v>
      </c>
      <c r="B7">
        <v>2</v>
      </c>
      <c r="C7" s="1">
        <v>44931</v>
      </c>
      <c r="D7" s="3">
        <v>0.49837962962962962</v>
      </c>
      <c r="E7">
        <v>129</v>
      </c>
      <c r="F7" t="s">
        <v>17</v>
      </c>
      <c r="G7" t="str">
        <f>VLOOKUP(E7,menu_items!A:C,3,0)</f>
        <v>Italian</v>
      </c>
      <c r="H7">
        <f>VLOOKUP(E7, menu_items!A:D,4,0)</f>
        <v>15.5</v>
      </c>
      <c r="I7">
        <f t="shared" si="0"/>
        <v>15.5</v>
      </c>
      <c r="J7" t="str">
        <f t="shared" si="1"/>
        <v>Jan</v>
      </c>
      <c r="K7" t="str">
        <f t="shared" si="2"/>
        <v>Thursday</v>
      </c>
      <c r="L7">
        <f t="shared" si="3"/>
        <v>11</v>
      </c>
    </row>
    <row r="8" spans="1:12" x14ac:dyDescent="0.3">
      <c r="A8">
        <v>6</v>
      </c>
      <c r="B8">
        <v>2</v>
      </c>
      <c r="C8" s="1">
        <v>44932</v>
      </c>
      <c r="D8" s="3">
        <v>0.49837962962962962</v>
      </c>
      <c r="E8">
        <v>106</v>
      </c>
      <c r="F8" t="s">
        <v>18</v>
      </c>
      <c r="G8" t="str">
        <f>VLOOKUP(E8,menu_items!A:C,3,0)</f>
        <v>American</v>
      </c>
      <c r="H8">
        <f>VLOOKUP(E8, menu_items!A:D,4,0)</f>
        <v>7</v>
      </c>
      <c r="I8">
        <f t="shared" si="0"/>
        <v>7</v>
      </c>
      <c r="J8" t="str">
        <f t="shared" si="1"/>
        <v>Jan</v>
      </c>
      <c r="K8" t="str">
        <f t="shared" si="2"/>
        <v>Friday</v>
      </c>
      <c r="L8">
        <f t="shared" si="3"/>
        <v>11</v>
      </c>
    </row>
    <row r="9" spans="1:12" x14ac:dyDescent="0.3">
      <c r="A9">
        <v>7</v>
      </c>
      <c r="B9">
        <v>3</v>
      </c>
      <c r="C9" s="1">
        <v>44933</v>
      </c>
      <c r="D9" s="3">
        <v>0.50865740740740739</v>
      </c>
      <c r="E9">
        <v>117</v>
      </c>
      <c r="F9" t="s">
        <v>16</v>
      </c>
      <c r="G9" t="str">
        <f>VLOOKUP(E9,menu_items!A:C,3,0)</f>
        <v>Mexican</v>
      </c>
      <c r="H9">
        <f>VLOOKUP(E9, menu_items!A:D,4,0)</f>
        <v>12.95</v>
      </c>
      <c r="I9">
        <f t="shared" si="0"/>
        <v>12.95</v>
      </c>
      <c r="J9" t="str">
        <f t="shared" si="1"/>
        <v>Jan</v>
      </c>
      <c r="K9" t="str">
        <f t="shared" si="2"/>
        <v>Saturday</v>
      </c>
      <c r="L9">
        <f t="shared" si="3"/>
        <v>12</v>
      </c>
    </row>
    <row r="10" spans="1:12" x14ac:dyDescent="0.3">
      <c r="A10">
        <v>8</v>
      </c>
      <c r="B10">
        <v>3</v>
      </c>
      <c r="C10" s="1">
        <v>44934</v>
      </c>
      <c r="D10" s="3">
        <v>0.50865740740740739</v>
      </c>
      <c r="E10">
        <v>119</v>
      </c>
      <c r="F10" t="s">
        <v>19</v>
      </c>
      <c r="G10" t="str">
        <f>VLOOKUP(E10,menu_items!A:C,3,0)</f>
        <v>Mexican</v>
      </c>
      <c r="H10">
        <f>VLOOKUP(E10, menu_items!A:D,4,0)</f>
        <v>11.95</v>
      </c>
      <c r="I10">
        <f t="shared" si="0"/>
        <v>11.95</v>
      </c>
      <c r="J10" t="str">
        <f t="shared" si="1"/>
        <v>Jan</v>
      </c>
      <c r="K10" t="str">
        <f t="shared" si="2"/>
        <v>Sunday</v>
      </c>
      <c r="L10">
        <f t="shared" si="3"/>
        <v>12</v>
      </c>
    </row>
    <row r="11" spans="1:12" x14ac:dyDescent="0.3">
      <c r="A11">
        <v>9</v>
      </c>
      <c r="B11">
        <v>4</v>
      </c>
      <c r="C11" s="1">
        <v>44935</v>
      </c>
      <c r="D11" s="3">
        <v>0.51146990740740739</v>
      </c>
      <c r="E11">
        <v>117</v>
      </c>
      <c r="F11" t="s">
        <v>16</v>
      </c>
      <c r="G11" t="str">
        <f>VLOOKUP(E11,menu_items!A:C,3,0)</f>
        <v>Mexican</v>
      </c>
      <c r="H11">
        <f>VLOOKUP(E11, menu_items!A:D,4,0)</f>
        <v>12.95</v>
      </c>
      <c r="I11">
        <f t="shared" si="0"/>
        <v>12.95</v>
      </c>
      <c r="J11" t="str">
        <f t="shared" si="1"/>
        <v>Jan</v>
      </c>
      <c r="K11" t="str">
        <f t="shared" si="2"/>
        <v>Monday</v>
      </c>
      <c r="L11">
        <f t="shared" si="3"/>
        <v>12</v>
      </c>
    </row>
    <row r="12" spans="1:12" x14ac:dyDescent="0.3">
      <c r="A12">
        <v>10</v>
      </c>
      <c r="B12">
        <v>5</v>
      </c>
      <c r="C12" s="1">
        <v>44936</v>
      </c>
      <c r="D12" s="3">
        <v>0.51493055555555556</v>
      </c>
      <c r="E12">
        <v>117</v>
      </c>
      <c r="F12" t="s">
        <v>16</v>
      </c>
      <c r="G12" t="str">
        <f>VLOOKUP(E12,menu_items!A:C,3,0)</f>
        <v>Mexican</v>
      </c>
      <c r="H12">
        <f>VLOOKUP(E12, menu_items!A:D,4,0)</f>
        <v>12.95</v>
      </c>
      <c r="I12">
        <f t="shared" si="0"/>
        <v>12.95</v>
      </c>
      <c r="J12" t="str">
        <f t="shared" si="1"/>
        <v>Jan</v>
      </c>
      <c r="K12" t="str">
        <f t="shared" si="2"/>
        <v>Tuesday</v>
      </c>
      <c r="L12">
        <f t="shared" si="3"/>
        <v>12</v>
      </c>
    </row>
    <row r="13" spans="1:12" x14ac:dyDescent="0.3">
      <c r="A13">
        <v>11</v>
      </c>
      <c r="B13">
        <v>6</v>
      </c>
      <c r="C13" s="1">
        <v>44937</v>
      </c>
      <c r="D13" s="3">
        <v>0.52055555555555555</v>
      </c>
      <c r="E13">
        <v>101</v>
      </c>
      <c r="F13" t="s">
        <v>20</v>
      </c>
      <c r="G13" t="str">
        <f>VLOOKUP(E13,menu_items!A:C,3,0)</f>
        <v>American</v>
      </c>
      <c r="H13">
        <f>VLOOKUP(E13, menu_items!A:D,4,0)</f>
        <v>12.95</v>
      </c>
      <c r="I13">
        <f t="shared" si="0"/>
        <v>12.95</v>
      </c>
      <c r="J13" t="str">
        <f t="shared" si="1"/>
        <v>Jan</v>
      </c>
      <c r="K13" t="str">
        <f t="shared" si="2"/>
        <v>Wednesday</v>
      </c>
      <c r="L13">
        <f t="shared" si="3"/>
        <v>12</v>
      </c>
    </row>
    <row r="14" spans="1:12" x14ac:dyDescent="0.3">
      <c r="A14">
        <v>12</v>
      </c>
      <c r="B14">
        <v>6</v>
      </c>
      <c r="C14" s="1">
        <v>44938</v>
      </c>
      <c r="D14" s="3">
        <v>0.52055555555555555</v>
      </c>
      <c r="E14">
        <v>114</v>
      </c>
      <c r="F14" t="s">
        <v>21</v>
      </c>
      <c r="G14" t="str">
        <f>VLOOKUP(E14,menu_items!A:C,3,0)</f>
        <v>Asian</v>
      </c>
      <c r="H14">
        <f>VLOOKUP(E14, menu_items!A:D,4,0)</f>
        <v>9</v>
      </c>
      <c r="I14">
        <f t="shared" si="0"/>
        <v>9</v>
      </c>
      <c r="J14" t="str">
        <f t="shared" si="1"/>
        <v>Jan</v>
      </c>
      <c r="K14" t="str">
        <f t="shared" si="2"/>
        <v>Thursday</v>
      </c>
      <c r="L14">
        <f t="shared" si="3"/>
        <v>12</v>
      </c>
    </row>
    <row r="15" spans="1:12" x14ac:dyDescent="0.3">
      <c r="A15">
        <v>13</v>
      </c>
      <c r="B15">
        <v>7</v>
      </c>
      <c r="C15" s="1">
        <v>44939</v>
      </c>
      <c r="D15" s="3">
        <v>0.53515046296296298</v>
      </c>
      <c r="E15">
        <v>123</v>
      </c>
      <c r="F15" t="s">
        <v>22</v>
      </c>
      <c r="G15" t="str">
        <f>VLOOKUP(E15,menu_items!A:C,3,0)</f>
        <v>Mexican</v>
      </c>
      <c r="H15">
        <f>VLOOKUP(E15, menu_items!A:D,4,0)</f>
        <v>9</v>
      </c>
      <c r="I15">
        <f t="shared" si="0"/>
        <v>9</v>
      </c>
      <c r="J15" t="str">
        <f t="shared" si="1"/>
        <v>Jan</v>
      </c>
      <c r="K15" t="str">
        <f t="shared" si="2"/>
        <v>Friday</v>
      </c>
      <c r="L15">
        <f t="shared" si="3"/>
        <v>12</v>
      </c>
    </row>
    <row r="16" spans="1:12" x14ac:dyDescent="0.3">
      <c r="A16">
        <v>14</v>
      </c>
      <c r="B16">
        <v>8</v>
      </c>
      <c r="C16" s="1">
        <v>44940</v>
      </c>
      <c r="D16" s="3">
        <v>0.53584490740740742</v>
      </c>
      <c r="E16">
        <v>123</v>
      </c>
      <c r="F16" t="s">
        <v>22</v>
      </c>
      <c r="G16" t="str">
        <f>VLOOKUP(E16,menu_items!A:C,3,0)</f>
        <v>Mexican</v>
      </c>
      <c r="H16">
        <f>VLOOKUP(E16, menu_items!A:D,4,0)</f>
        <v>9</v>
      </c>
      <c r="I16">
        <f t="shared" si="0"/>
        <v>9</v>
      </c>
      <c r="J16" t="str">
        <f t="shared" si="1"/>
        <v>Jan</v>
      </c>
      <c r="K16" t="str">
        <f t="shared" si="2"/>
        <v>Saturday</v>
      </c>
      <c r="L16">
        <f t="shared" si="3"/>
        <v>12</v>
      </c>
    </row>
    <row r="17" spans="1:12" x14ac:dyDescent="0.3">
      <c r="A17">
        <v>15</v>
      </c>
      <c r="B17">
        <v>9</v>
      </c>
      <c r="C17" s="1">
        <v>44941</v>
      </c>
      <c r="D17" s="3">
        <v>0.53612268518518513</v>
      </c>
      <c r="E17">
        <v>108</v>
      </c>
      <c r="F17" t="s">
        <v>14</v>
      </c>
      <c r="G17" t="str">
        <f>VLOOKUP(E17,menu_items!A:C,3,0)</f>
        <v>Asian</v>
      </c>
      <c r="H17">
        <f>VLOOKUP(E17, menu_items!A:D,4,0)</f>
        <v>14.5</v>
      </c>
      <c r="I17">
        <f t="shared" si="0"/>
        <v>14.5</v>
      </c>
      <c r="J17" t="str">
        <f t="shared" si="1"/>
        <v>Jan</v>
      </c>
      <c r="K17" t="str">
        <f t="shared" si="2"/>
        <v>Sunday</v>
      </c>
      <c r="L17">
        <f t="shared" si="3"/>
        <v>12</v>
      </c>
    </row>
    <row r="18" spans="1:12" x14ac:dyDescent="0.3">
      <c r="A18">
        <v>16</v>
      </c>
      <c r="B18">
        <v>9</v>
      </c>
      <c r="C18" s="1">
        <v>44942</v>
      </c>
      <c r="D18" s="3">
        <v>0.53612268518518513</v>
      </c>
      <c r="E18">
        <v>126</v>
      </c>
      <c r="F18" t="s">
        <v>23</v>
      </c>
      <c r="G18" t="str">
        <f>VLOOKUP(E18,menu_items!A:C,3,0)</f>
        <v>Italian</v>
      </c>
      <c r="H18">
        <f>VLOOKUP(E18, menu_items!A:D,4,0)</f>
        <v>14.5</v>
      </c>
      <c r="I18">
        <f t="shared" si="0"/>
        <v>14.5</v>
      </c>
      <c r="J18" t="str">
        <f t="shared" si="1"/>
        <v>Jan</v>
      </c>
      <c r="K18" t="str">
        <f t="shared" si="2"/>
        <v>Monday</v>
      </c>
      <c r="L18">
        <f t="shared" si="3"/>
        <v>12</v>
      </c>
    </row>
    <row r="19" spans="1:12" x14ac:dyDescent="0.3">
      <c r="A19">
        <v>17</v>
      </c>
      <c r="B19">
        <v>9</v>
      </c>
      <c r="C19" s="1">
        <v>44943</v>
      </c>
      <c r="D19" s="3">
        <v>0.53612268518518513</v>
      </c>
      <c r="E19">
        <v>110</v>
      </c>
      <c r="F19" t="s">
        <v>24</v>
      </c>
      <c r="G19" t="str">
        <f>VLOOKUP(E19,menu_items!A:C,3,0)</f>
        <v>Asian</v>
      </c>
      <c r="H19">
        <f>VLOOKUP(E19, menu_items!A:D,4,0)</f>
        <v>17.95</v>
      </c>
      <c r="I19">
        <f t="shared" si="0"/>
        <v>17.95</v>
      </c>
      <c r="J19" t="str">
        <f t="shared" si="1"/>
        <v>Jan</v>
      </c>
      <c r="K19" t="str">
        <f t="shared" si="2"/>
        <v>Tuesday</v>
      </c>
      <c r="L19">
        <f t="shared" si="3"/>
        <v>12</v>
      </c>
    </row>
    <row r="20" spans="1:12" x14ac:dyDescent="0.3">
      <c r="A20">
        <v>18</v>
      </c>
      <c r="B20">
        <v>9</v>
      </c>
      <c r="C20" s="1">
        <v>44944</v>
      </c>
      <c r="D20" s="3">
        <v>0.53612268518518513</v>
      </c>
      <c r="E20">
        <v>117</v>
      </c>
      <c r="F20" t="s">
        <v>16</v>
      </c>
      <c r="G20" t="str">
        <f>VLOOKUP(E20,menu_items!A:C,3,0)</f>
        <v>Mexican</v>
      </c>
      <c r="H20">
        <f>VLOOKUP(E20, menu_items!A:D,4,0)</f>
        <v>12.95</v>
      </c>
      <c r="I20">
        <f t="shared" si="0"/>
        <v>12.95</v>
      </c>
      <c r="J20" t="str">
        <f t="shared" si="1"/>
        <v>Jan</v>
      </c>
      <c r="K20" t="str">
        <f t="shared" si="2"/>
        <v>Wednesday</v>
      </c>
      <c r="L20">
        <f t="shared" si="3"/>
        <v>12</v>
      </c>
    </row>
    <row r="21" spans="1:12" x14ac:dyDescent="0.3">
      <c r="A21">
        <v>19</v>
      </c>
      <c r="B21">
        <v>9</v>
      </c>
      <c r="C21" s="1">
        <v>44945</v>
      </c>
      <c r="D21" s="3">
        <v>0.53612268518518513</v>
      </c>
      <c r="E21">
        <v>117</v>
      </c>
      <c r="F21" t="s">
        <v>16</v>
      </c>
      <c r="G21" t="str">
        <f>VLOOKUP(E21,menu_items!A:C,3,0)</f>
        <v>Mexican</v>
      </c>
      <c r="H21">
        <f>VLOOKUP(E21, menu_items!A:D,4,0)</f>
        <v>12.95</v>
      </c>
      <c r="I21">
        <f t="shared" si="0"/>
        <v>12.95</v>
      </c>
      <c r="J21" t="str">
        <f t="shared" si="1"/>
        <v>Jan</v>
      </c>
      <c r="K21" t="str">
        <f t="shared" si="2"/>
        <v>Thursday</v>
      </c>
      <c r="L21">
        <f t="shared" si="3"/>
        <v>12</v>
      </c>
    </row>
    <row r="22" spans="1:12" x14ac:dyDescent="0.3">
      <c r="A22">
        <v>20</v>
      </c>
      <c r="B22">
        <v>9</v>
      </c>
      <c r="C22" s="1">
        <v>44946</v>
      </c>
      <c r="D22" s="3">
        <v>0.53612268518518513</v>
      </c>
      <c r="E22">
        <v>129</v>
      </c>
      <c r="F22" t="s">
        <v>17</v>
      </c>
      <c r="G22" t="str">
        <f>VLOOKUP(E22,menu_items!A:C,3,0)</f>
        <v>Italian</v>
      </c>
      <c r="H22">
        <f>VLOOKUP(E22, menu_items!A:D,4,0)</f>
        <v>15.5</v>
      </c>
      <c r="I22">
        <f t="shared" si="0"/>
        <v>15.5</v>
      </c>
      <c r="J22" t="str">
        <f t="shared" si="1"/>
        <v>Jan</v>
      </c>
      <c r="K22" t="str">
        <f t="shared" si="2"/>
        <v>Friday</v>
      </c>
      <c r="L22">
        <f t="shared" si="3"/>
        <v>12</v>
      </c>
    </row>
    <row r="23" spans="1:12" x14ac:dyDescent="0.3">
      <c r="A23">
        <v>21</v>
      </c>
      <c r="B23">
        <v>9</v>
      </c>
      <c r="C23" s="1">
        <v>44947</v>
      </c>
      <c r="D23" s="3">
        <v>0.53612268518518513</v>
      </c>
      <c r="E23">
        <v>122</v>
      </c>
      <c r="F23" t="s">
        <v>25</v>
      </c>
      <c r="G23" t="str">
        <f>VLOOKUP(E23,menu_items!A:C,3,0)</f>
        <v>Mexican</v>
      </c>
      <c r="H23">
        <f>VLOOKUP(E23, menu_items!A:D,4,0)</f>
        <v>7</v>
      </c>
      <c r="I23">
        <f t="shared" si="0"/>
        <v>7</v>
      </c>
      <c r="J23" t="str">
        <f t="shared" si="1"/>
        <v>Jan</v>
      </c>
      <c r="K23" t="str">
        <f t="shared" si="2"/>
        <v>Saturday</v>
      </c>
      <c r="L23">
        <f t="shared" si="3"/>
        <v>12</v>
      </c>
    </row>
    <row r="24" spans="1:12" x14ac:dyDescent="0.3">
      <c r="A24">
        <v>22</v>
      </c>
      <c r="B24">
        <v>9</v>
      </c>
      <c r="C24" s="1">
        <v>44948</v>
      </c>
      <c r="D24" s="3">
        <v>0.53612268518518513</v>
      </c>
      <c r="E24">
        <v>130</v>
      </c>
      <c r="F24" t="s">
        <v>26</v>
      </c>
      <c r="G24" t="str">
        <f>VLOOKUP(E24,menu_items!A:C,3,0)</f>
        <v>Italian</v>
      </c>
      <c r="H24">
        <f>VLOOKUP(E24, menu_items!A:D,4,0)</f>
        <v>19.95</v>
      </c>
      <c r="I24">
        <f t="shared" si="0"/>
        <v>19.95</v>
      </c>
      <c r="J24" t="str">
        <f t="shared" si="1"/>
        <v>Jan</v>
      </c>
      <c r="K24" t="str">
        <f t="shared" si="2"/>
        <v>Sunday</v>
      </c>
      <c r="L24">
        <f t="shared" si="3"/>
        <v>12</v>
      </c>
    </row>
    <row r="25" spans="1:12" x14ac:dyDescent="0.3">
      <c r="A25">
        <v>23</v>
      </c>
      <c r="B25">
        <v>9</v>
      </c>
      <c r="C25" s="1">
        <v>44949</v>
      </c>
      <c r="D25" s="3">
        <v>0.53612268518518513</v>
      </c>
      <c r="E25">
        <v>132</v>
      </c>
      <c r="F25" t="s">
        <v>27</v>
      </c>
      <c r="G25" t="str">
        <f>VLOOKUP(E25,menu_items!A:C,3,0)</f>
        <v>Italian</v>
      </c>
      <c r="H25">
        <f>VLOOKUP(E25, menu_items!A:D,4,0)</f>
        <v>16.95</v>
      </c>
      <c r="I25">
        <f t="shared" si="0"/>
        <v>16.95</v>
      </c>
      <c r="J25" t="str">
        <f t="shared" si="1"/>
        <v>Jan</v>
      </c>
      <c r="K25" t="str">
        <f t="shared" si="2"/>
        <v>Monday</v>
      </c>
      <c r="L25">
        <f t="shared" si="3"/>
        <v>12</v>
      </c>
    </row>
    <row r="26" spans="1:12" x14ac:dyDescent="0.3">
      <c r="A26">
        <v>24</v>
      </c>
      <c r="B26">
        <v>10</v>
      </c>
      <c r="C26" s="1">
        <v>44950</v>
      </c>
      <c r="D26" s="3">
        <v>0.54184027777777777</v>
      </c>
      <c r="E26">
        <v>129</v>
      </c>
      <c r="F26" t="s">
        <v>17</v>
      </c>
      <c r="G26" t="str">
        <f>VLOOKUP(E26,menu_items!A:C,3,0)</f>
        <v>Italian</v>
      </c>
      <c r="H26">
        <f>VLOOKUP(E26, menu_items!A:D,4,0)</f>
        <v>15.5</v>
      </c>
      <c r="I26">
        <f t="shared" si="0"/>
        <v>15.5</v>
      </c>
      <c r="J26" t="str">
        <f t="shared" si="1"/>
        <v>Jan</v>
      </c>
      <c r="K26" t="str">
        <f t="shared" si="2"/>
        <v>Tuesday</v>
      </c>
      <c r="L26">
        <f t="shared" si="3"/>
        <v>13</v>
      </c>
    </row>
    <row r="27" spans="1:12" x14ac:dyDescent="0.3">
      <c r="A27">
        <v>25</v>
      </c>
      <c r="B27">
        <v>10</v>
      </c>
      <c r="C27" s="1">
        <v>44951</v>
      </c>
      <c r="D27" s="3">
        <v>0.54184027777777777</v>
      </c>
      <c r="E27">
        <v>105</v>
      </c>
      <c r="F27" t="s">
        <v>28</v>
      </c>
      <c r="G27" t="str">
        <f>VLOOKUP(E27,menu_items!A:C,3,0)</f>
        <v>American</v>
      </c>
      <c r="H27">
        <f>VLOOKUP(E27, menu_items!A:D,4,0)</f>
        <v>7</v>
      </c>
      <c r="I27">
        <f t="shared" si="0"/>
        <v>7</v>
      </c>
      <c r="J27" t="str">
        <f t="shared" si="1"/>
        <v>Jan</v>
      </c>
      <c r="K27" t="str">
        <f t="shared" si="2"/>
        <v>Wednesday</v>
      </c>
      <c r="L27">
        <f t="shared" si="3"/>
        <v>13</v>
      </c>
    </row>
    <row r="28" spans="1:12" x14ac:dyDescent="0.3">
      <c r="A28">
        <v>26</v>
      </c>
      <c r="B28">
        <v>11</v>
      </c>
      <c r="C28" s="1">
        <v>44952</v>
      </c>
      <c r="D28" s="3">
        <v>0.54373842592592592</v>
      </c>
      <c r="E28">
        <v>101</v>
      </c>
      <c r="F28" t="s">
        <v>20</v>
      </c>
      <c r="G28" t="str">
        <f>VLOOKUP(E28,menu_items!A:C,3,0)</f>
        <v>American</v>
      </c>
      <c r="H28">
        <f>VLOOKUP(E28, menu_items!A:D,4,0)</f>
        <v>12.95</v>
      </c>
      <c r="I28">
        <f t="shared" si="0"/>
        <v>12.95</v>
      </c>
      <c r="J28" t="str">
        <f t="shared" si="1"/>
        <v>Jan</v>
      </c>
      <c r="K28" t="str">
        <f t="shared" si="2"/>
        <v>Thursday</v>
      </c>
      <c r="L28">
        <f t="shared" si="3"/>
        <v>13</v>
      </c>
    </row>
    <row r="29" spans="1:12" x14ac:dyDescent="0.3">
      <c r="A29">
        <v>27</v>
      </c>
      <c r="B29">
        <v>11</v>
      </c>
      <c r="C29" s="1">
        <v>44953</v>
      </c>
      <c r="D29" s="3">
        <v>0.54373842592592592</v>
      </c>
      <c r="E29">
        <v>102</v>
      </c>
      <c r="F29" t="s">
        <v>29</v>
      </c>
      <c r="G29" t="str">
        <f>VLOOKUP(E29,menu_items!A:C,3,0)</f>
        <v>American</v>
      </c>
      <c r="H29">
        <f>VLOOKUP(E29, menu_items!A:D,4,0)</f>
        <v>13.95</v>
      </c>
      <c r="I29">
        <f t="shared" si="0"/>
        <v>13.95</v>
      </c>
      <c r="J29" t="str">
        <f t="shared" si="1"/>
        <v>Jan</v>
      </c>
      <c r="K29" t="str">
        <f t="shared" si="2"/>
        <v>Friday</v>
      </c>
      <c r="L29">
        <f t="shared" si="3"/>
        <v>13</v>
      </c>
    </row>
    <row r="30" spans="1:12" x14ac:dyDescent="0.3">
      <c r="A30">
        <v>28</v>
      </c>
      <c r="B30">
        <v>11</v>
      </c>
      <c r="C30" s="1">
        <v>44954</v>
      </c>
      <c r="D30" s="3">
        <v>0.54373842592592592</v>
      </c>
      <c r="E30">
        <v>102</v>
      </c>
      <c r="F30" t="s">
        <v>29</v>
      </c>
      <c r="G30" t="str">
        <f>VLOOKUP(E30,menu_items!A:C,3,0)</f>
        <v>American</v>
      </c>
      <c r="H30">
        <f>VLOOKUP(E30, menu_items!A:D,4,0)</f>
        <v>13.95</v>
      </c>
      <c r="I30">
        <f t="shared" si="0"/>
        <v>13.95</v>
      </c>
      <c r="J30" t="str">
        <f t="shared" si="1"/>
        <v>Jan</v>
      </c>
      <c r="K30" t="str">
        <f t="shared" si="2"/>
        <v>Saturday</v>
      </c>
      <c r="L30">
        <f t="shared" si="3"/>
        <v>13</v>
      </c>
    </row>
    <row r="31" spans="1:12" x14ac:dyDescent="0.3">
      <c r="A31">
        <v>29</v>
      </c>
      <c r="B31">
        <v>11</v>
      </c>
      <c r="C31" s="1">
        <v>44955</v>
      </c>
      <c r="D31" s="3">
        <v>0.54373842592592592</v>
      </c>
      <c r="E31">
        <v>113</v>
      </c>
      <c r="F31" t="s">
        <v>30</v>
      </c>
      <c r="G31" t="str">
        <f>VLOOKUP(E31,menu_items!A:C,3,0)</f>
        <v>Asian</v>
      </c>
      <c r="H31">
        <f>VLOOKUP(E31, menu_items!A:D,4,0)</f>
        <v>5</v>
      </c>
      <c r="I31">
        <f t="shared" si="0"/>
        <v>5</v>
      </c>
      <c r="J31" t="str">
        <f t="shared" si="1"/>
        <v>Jan</v>
      </c>
      <c r="K31" t="str">
        <f t="shared" si="2"/>
        <v>Sunday</v>
      </c>
      <c r="L31">
        <f t="shared" si="3"/>
        <v>13</v>
      </c>
    </row>
    <row r="32" spans="1:12" x14ac:dyDescent="0.3">
      <c r="A32">
        <v>30</v>
      </c>
      <c r="B32">
        <v>12</v>
      </c>
      <c r="C32" s="1">
        <v>44956</v>
      </c>
      <c r="D32" s="3">
        <v>0.54491898148148143</v>
      </c>
      <c r="E32">
        <v>102</v>
      </c>
      <c r="F32" t="s">
        <v>29</v>
      </c>
      <c r="G32" t="str">
        <f>VLOOKUP(E32,menu_items!A:C,3,0)</f>
        <v>American</v>
      </c>
      <c r="H32">
        <f>VLOOKUP(E32, menu_items!A:D,4,0)</f>
        <v>13.95</v>
      </c>
      <c r="I32">
        <f t="shared" si="0"/>
        <v>13.95</v>
      </c>
      <c r="J32" t="str">
        <f t="shared" si="1"/>
        <v>Jan</v>
      </c>
      <c r="K32" t="str">
        <f t="shared" si="2"/>
        <v>Monday</v>
      </c>
      <c r="L32">
        <f t="shared" si="3"/>
        <v>13</v>
      </c>
    </row>
    <row r="33" spans="1:12" x14ac:dyDescent="0.3">
      <c r="A33">
        <v>31</v>
      </c>
      <c r="B33">
        <v>12</v>
      </c>
      <c r="C33" s="1">
        <v>44957</v>
      </c>
      <c r="D33" s="3">
        <v>0.54491898148148143</v>
      </c>
      <c r="E33">
        <v>102</v>
      </c>
      <c r="F33" t="s">
        <v>29</v>
      </c>
      <c r="G33" t="str">
        <f>VLOOKUP(E33,menu_items!A:C,3,0)</f>
        <v>American</v>
      </c>
      <c r="H33">
        <f>VLOOKUP(E33, menu_items!A:D,4,0)</f>
        <v>13.95</v>
      </c>
      <c r="I33">
        <f t="shared" si="0"/>
        <v>13.95</v>
      </c>
      <c r="J33" t="str">
        <f t="shared" si="1"/>
        <v>Jan</v>
      </c>
      <c r="K33" t="str">
        <f t="shared" si="2"/>
        <v>Tuesday</v>
      </c>
      <c r="L33">
        <f t="shared" si="3"/>
        <v>13</v>
      </c>
    </row>
    <row r="34" spans="1:12" x14ac:dyDescent="0.3">
      <c r="A34">
        <v>32</v>
      </c>
      <c r="B34">
        <v>12</v>
      </c>
      <c r="C34" s="1">
        <v>44958</v>
      </c>
      <c r="D34" s="3">
        <v>0.54491898148148143</v>
      </c>
      <c r="E34">
        <v>104</v>
      </c>
      <c r="F34" t="s">
        <v>31</v>
      </c>
      <c r="G34" t="str">
        <f>VLOOKUP(E34,menu_items!A:C,3,0)</f>
        <v>American</v>
      </c>
      <c r="H34">
        <f>VLOOKUP(E34, menu_items!A:D,4,0)</f>
        <v>10.5</v>
      </c>
      <c r="I34">
        <f t="shared" si="0"/>
        <v>10.5</v>
      </c>
      <c r="J34" t="str">
        <f t="shared" si="1"/>
        <v>Feb</v>
      </c>
      <c r="K34" t="str">
        <f t="shared" si="2"/>
        <v>Wednesday</v>
      </c>
      <c r="L34">
        <f t="shared" si="3"/>
        <v>13</v>
      </c>
    </row>
    <row r="35" spans="1:12" x14ac:dyDescent="0.3">
      <c r="A35">
        <v>33</v>
      </c>
      <c r="B35">
        <v>12</v>
      </c>
      <c r="C35" s="1">
        <v>44959</v>
      </c>
      <c r="D35" s="3">
        <v>0.54491898148148143</v>
      </c>
      <c r="E35">
        <v>117</v>
      </c>
      <c r="F35" t="s">
        <v>16</v>
      </c>
      <c r="G35" t="str">
        <f>VLOOKUP(E35,menu_items!A:C,3,0)</f>
        <v>Mexican</v>
      </c>
      <c r="H35">
        <f>VLOOKUP(E35, menu_items!A:D,4,0)</f>
        <v>12.95</v>
      </c>
      <c r="I35">
        <f t="shared" si="0"/>
        <v>12.95</v>
      </c>
      <c r="J35" t="str">
        <f t="shared" si="1"/>
        <v>Feb</v>
      </c>
      <c r="K35" t="str">
        <f t="shared" si="2"/>
        <v>Thursday</v>
      </c>
      <c r="L35">
        <f t="shared" si="3"/>
        <v>13</v>
      </c>
    </row>
    <row r="36" spans="1:12" x14ac:dyDescent="0.3">
      <c r="A36">
        <v>34</v>
      </c>
      <c r="B36">
        <v>13</v>
      </c>
      <c r="C36" s="1">
        <v>44960</v>
      </c>
      <c r="D36" s="3">
        <v>0.54994212962962963</v>
      </c>
      <c r="E36">
        <v>129</v>
      </c>
      <c r="F36" t="s">
        <v>17</v>
      </c>
      <c r="G36" t="str">
        <f>VLOOKUP(E36,menu_items!A:C,3,0)</f>
        <v>Italian</v>
      </c>
      <c r="H36">
        <f>VLOOKUP(E36, menu_items!A:D,4,0)</f>
        <v>15.5</v>
      </c>
      <c r="I36">
        <f t="shared" si="0"/>
        <v>15.5</v>
      </c>
      <c r="J36" t="str">
        <f t="shared" si="1"/>
        <v>Feb</v>
      </c>
      <c r="K36" t="str">
        <f t="shared" si="2"/>
        <v>Friday</v>
      </c>
      <c r="L36">
        <f t="shared" si="3"/>
        <v>13</v>
      </c>
    </row>
    <row r="37" spans="1:12" x14ac:dyDescent="0.3">
      <c r="A37">
        <v>35</v>
      </c>
      <c r="B37">
        <v>14</v>
      </c>
      <c r="C37" s="1">
        <v>44961</v>
      </c>
      <c r="D37" s="3">
        <v>0.55160879629629633</v>
      </c>
      <c r="E37">
        <v>114</v>
      </c>
      <c r="F37" t="s">
        <v>21</v>
      </c>
      <c r="G37" t="str">
        <f>VLOOKUP(E37,menu_items!A:C,3,0)</f>
        <v>Asian</v>
      </c>
      <c r="H37">
        <f>VLOOKUP(E37, menu_items!A:D,4,0)</f>
        <v>9</v>
      </c>
      <c r="I37">
        <f t="shared" si="0"/>
        <v>9</v>
      </c>
      <c r="J37" t="str">
        <f t="shared" si="1"/>
        <v>Feb</v>
      </c>
      <c r="K37" t="str">
        <f t="shared" si="2"/>
        <v>Saturday</v>
      </c>
      <c r="L37">
        <f t="shared" si="3"/>
        <v>13</v>
      </c>
    </row>
    <row r="38" spans="1:12" x14ac:dyDescent="0.3">
      <c r="A38">
        <v>36</v>
      </c>
      <c r="B38">
        <v>15</v>
      </c>
      <c r="C38" s="1">
        <v>44962</v>
      </c>
      <c r="D38" s="3">
        <v>0.56458333333333333</v>
      </c>
      <c r="E38">
        <v>107</v>
      </c>
      <c r="F38" t="s">
        <v>32</v>
      </c>
      <c r="G38" t="str">
        <f>VLOOKUP(E38,menu_items!A:C,3,0)</f>
        <v>Asian</v>
      </c>
      <c r="H38">
        <f>VLOOKUP(E38, menu_items!A:D,4,0)</f>
        <v>16.5</v>
      </c>
      <c r="I38">
        <f t="shared" si="0"/>
        <v>16.5</v>
      </c>
      <c r="J38" t="str">
        <f t="shared" si="1"/>
        <v>Feb</v>
      </c>
      <c r="K38" t="str">
        <f t="shared" si="2"/>
        <v>Sunday</v>
      </c>
      <c r="L38">
        <f t="shared" si="3"/>
        <v>13</v>
      </c>
    </row>
    <row r="39" spans="1:12" x14ac:dyDescent="0.3">
      <c r="A39">
        <v>37</v>
      </c>
      <c r="B39">
        <v>15</v>
      </c>
      <c r="C39" s="1">
        <v>44963</v>
      </c>
      <c r="D39" s="3">
        <v>0.56458333333333333</v>
      </c>
      <c r="E39">
        <v>124</v>
      </c>
      <c r="F39" t="s">
        <v>15</v>
      </c>
      <c r="G39" t="str">
        <f>VLOOKUP(E39,menu_items!A:C,3,0)</f>
        <v>Italian</v>
      </c>
      <c r="H39">
        <f>VLOOKUP(E39, menu_items!A:D,4,0)</f>
        <v>14.5</v>
      </c>
      <c r="I39">
        <f t="shared" si="0"/>
        <v>14.5</v>
      </c>
      <c r="J39" t="str">
        <f t="shared" si="1"/>
        <v>Feb</v>
      </c>
      <c r="K39" t="str">
        <f t="shared" si="2"/>
        <v>Monday</v>
      </c>
      <c r="L39">
        <f t="shared" si="3"/>
        <v>13</v>
      </c>
    </row>
    <row r="40" spans="1:12" x14ac:dyDescent="0.3">
      <c r="A40">
        <v>38</v>
      </c>
      <c r="B40">
        <v>15</v>
      </c>
      <c r="C40" s="1">
        <v>44964</v>
      </c>
      <c r="D40" s="3">
        <v>0.56458333333333333</v>
      </c>
      <c r="E40">
        <v>121</v>
      </c>
      <c r="F40" t="s">
        <v>33</v>
      </c>
      <c r="G40" t="str">
        <f>VLOOKUP(E40,menu_items!A:C,3,0)</f>
        <v>Mexican</v>
      </c>
      <c r="H40">
        <f>VLOOKUP(E40, menu_items!A:D,4,0)</f>
        <v>10.5</v>
      </c>
      <c r="I40">
        <f t="shared" si="0"/>
        <v>10.5</v>
      </c>
      <c r="J40" t="str">
        <f t="shared" si="1"/>
        <v>Feb</v>
      </c>
      <c r="K40" t="str">
        <f t="shared" si="2"/>
        <v>Tuesday</v>
      </c>
      <c r="L40">
        <f t="shared" si="3"/>
        <v>13</v>
      </c>
    </row>
    <row r="41" spans="1:12" x14ac:dyDescent="0.3">
      <c r="A41">
        <v>39</v>
      </c>
      <c r="B41">
        <v>15</v>
      </c>
      <c r="C41" s="1">
        <v>44965</v>
      </c>
      <c r="D41" s="3">
        <v>0.56458333333333333</v>
      </c>
      <c r="E41">
        <v>114</v>
      </c>
      <c r="F41" t="s">
        <v>21</v>
      </c>
      <c r="G41" t="str">
        <f>VLOOKUP(E41,menu_items!A:C,3,0)</f>
        <v>Asian</v>
      </c>
      <c r="H41">
        <f>VLOOKUP(E41, menu_items!A:D,4,0)</f>
        <v>9</v>
      </c>
      <c r="I41">
        <f t="shared" si="0"/>
        <v>9</v>
      </c>
      <c r="J41" t="str">
        <f t="shared" si="1"/>
        <v>Feb</v>
      </c>
      <c r="K41" t="str">
        <f t="shared" si="2"/>
        <v>Wednesday</v>
      </c>
      <c r="L41">
        <f t="shared" si="3"/>
        <v>13</v>
      </c>
    </row>
    <row r="42" spans="1:12" x14ac:dyDescent="0.3">
      <c r="A42">
        <v>40</v>
      </c>
      <c r="B42">
        <v>16</v>
      </c>
      <c r="C42" s="1">
        <v>44966</v>
      </c>
      <c r="D42" s="3">
        <v>0.56535879629629626</v>
      </c>
      <c r="E42">
        <v>125</v>
      </c>
      <c r="F42" t="s">
        <v>34</v>
      </c>
      <c r="G42" t="str">
        <f>VLOOKUP(E42,menu_items!A:C,3,0)</f>
        <v>Italian</v>
      </c>
      <c r="H42">
        <f>VLOOKUP(E42, menu_items!A:D,4,0)</f>
        <v>17.95</v>
      </c>
      <c r="I42">
        <f t="shared" si="0"/>
        <v>17.95</v>
      </c>
      <c r="J42" t="str">
        <f t="shared" si="1"/>
        <v>Feb</v>
      </c>
      <c r="K42" t="str">
        <f t="shared" si="2"/>
        <v>Thursday</v>
      </c>
      <c r="L42">
        <f t="shared" si="3"/>
        <v>13</v>
      </c>
    </row>
    <row r="43" spans="1:12" x14ac:dyDescent="0.3">
      <c r="A43">
        <v>41</v>
      </c>
      <c r="B43">
        <v>16</v>
      </c>
      <c r="C43" s="1">
        <v>44967</v>
      </c>
      <c r="D43" s="3">
        <v>0.56535879629629626</v>
      </c>
      <c r="E43">
        <v>111</v>
      </c>
      <c r="F43" t="s">
        <v>35</v>
      </c>
      <c r="G43" t="str">
        <f>VLOOKUP(E43,menu_items!A:C,3,0)</f>
        <v>Asian</v>
      </c>
      <c r="H43">
        <f>VLOOKUP(E43, menu_items!A:D,4,0)</f>
        <v>11.95</v>
      </c>
      <c r="I43">
        <f t="shared" si="0"/>
        <v>11.95</v>
      </c>
      <c r="J43" t="str">
        <f t="shared" si="1"/>
        <v>Feb</v>
      </c>
      <c r="K43" t="str">
        <f t="shared" si="2"/>
        <v>Friday</v>
      </c>
      <c r="L43">
        <f t="shared" si="3"/>
        <v>13</v>
      </c>
    </row>
    <row r="44" spans="1:12" x14ac:dyDescent="0.3">
      <c r="A44">
        <v>42</v>
      </c>
      <c r="B44">
        <v>16</v>
      </c>
      <c r="C44" s="1">
        <v>44968</v>
      </c>
      <c r="D44" s="3">
        <v>0.56535879629629626</v>
      </c>
      <c r="E44">
        <v>106</v>
      </c>
      <c r="F44" t="s">
        <v>18</v>
      </c>
      <c r="G44" t="str">
        <f>VLOOKUP(E44,menu_items!A:C,3,0)</f>
        <v>American</v>
      </c>
      <c r="H44">
        <f>VLOOKUP(E44, menu_items!A:D,4,0)</f>
        <v>7</v>
      </c>
      <c r="I44">
        <f t="shared" si="0"/>
        <v>7</v>
      </c>
      <c r="J44" t="str">
        <f t="shared" si="1"/>
        <v>Feb</v>
      </c>
      <c r="K44" t="str">
        <f t="shared" si="2"/>
        <v>Saturday</v>
      </c>
      <c r="L44">
        <f t="shared" si="3"/>
        <v>13</v>
      </c>
    </row>
    <row r="45" spans="1:12" x14ac:dyDescent="0.3">
      <c r="A45">
        <v>43</v>
      </c>
      <c r="B45">
        <v>17</v>
      </c>
      <c r="C45" s="1">
        <v>44969</v>
      </c>
      <c r="D45" s="3">
        <v>0.57847222222222228</v>
      </c>
      <c r="E45">
        <v>101</v>
      </c>
      <c r="F45" t="s">
        <v>20</v>
      </c>
      <c r="G45" t="str">
        <f>VLOOKUP(E45,menu_items!A:C,3,0)</f>
        <v>American</v>
      </c>
      <c r="H45">
        <f>VLOOKUP(E45, menu_items!A:D,4,0)</f>
        <v>12.95</v>
      </c>
      <c r="I45">
        <f t="shared" si="0"/>
        <v>12.95</v>
      </c>
      <c r="J45" t="str">
        <f t="shared" si="1"/>
        <v>Feb</v>
      </c>
      <c r="K45" t="str">
        <f t="shared" si="2"/>
        <v>Sunday</v>
      </c>
      <c r="L45">
        <f t="shared" si="3"/>
        <v>13</v>
      </c>
    </row>
    <row r="46" spans="1:12" x14ac:dyDescent="0.3">
      <c r="A46">
        <v>44</v>
      </c>
      <c r="B46">
        <v>17</v>
      </c>
      <c r="C46" s="1">
        <v>44970</v>
      </c>
      <c r="D46" s="3">
        <v>0.57847222222222228</v>
      </c>
      <c r="E46">
        <v>116</v>
      </c>
      <c r="F46" t="s">
        <v>36</v>
      </c>
      <c r="G46" t="str">
        <f>VLOOKUP(E46,menu_items!A:C,3,0)</f>
        <v>Mexican</v>
      </c>
      <c r="H46">
        <f>VLOOKUP(E46, menu_items!A:D,4,0)</f>
        <v>13.95</v>
      </c>
      <c r="I46">
        <f t="shared" si="0"/>
        <v>13.95</v>
      </c>
      <c r="J46" t="str">
        <f t="shared" si="1"/>
        <v>Feb</v>
      </c>
      <c r="K46" t="str">
        <f t="shared" si="2"/>
        <v>Monday</v>
      </c>
      <c r="L46">
        <f t="shared" si="3"/>
        <v>13</v>
      </c>
    </row>
    <row r="47" spans="1:12" x14ac:dyDescent="0.3">
      <c r="A47">
        <v>45</v>
      </c>
      <c r="B47">
        <v>17</v>
      </c>
      <c r="C47" s="1">
        <v>44971</v>
      </c>
      <c r="D47" s="3">
        <v>0.57847222222222228</v>
      </c>
      <c r="E47">
        <v>124</v>
      </c>
      <c r="F47" t="s">
        <v>15</v>
      </c>
      <c r="G47" t="str">
        <f>VLOOKUP(E47,menu_items!A:C,3,0)</f>
        <v>Italian</v>
      </c>
      <c r="H47">
        <f>VLOOKUP(E47, menu_items!A:D,4,0)</f>
        <v>14.5</v>
      </c>
      <c r="I47">
        <f t="shared" si="0"/>
        <v>14.5</v>
      </c>
      <c r="J47" t="str">
        <f t="shared" si="1"/>
        <v>Feb</v>
      </c>
      <c r="K47" t="str">
        <f t="shared" si="2"/>
        <v>Tuesday</v>
      </c>
      <c r="L47">
        <f t="shared" si="3"/>
        <v>13</v>
      </c>
    </row>
    <row r="48" spans="1:12" x14ac:dyDescent="0.3">
      <c r="A48">
        <v>46</v>
      </c>
      <c r="B48">
        <v>17</v>
      </c>
      <c r="C48" s="1">
        <v>44972</v>
      </c>
      <c r="D48" s="3">
        <v>0.57847222222222228</v>
      </c>
      <c r="E48">
        <v>125</v>
      </c>
      <c r="F48" t="s">
        <v>34</v>
      </c>
      <c r="G48" t="str">
        <f>VLOOKUP(E48,menu_items!A:C,3,0)</f>
        <v>Italian</v>
      </c>
      <c r="H48">
        <f>VLOOKUP(E48, menu_items!A:D,4,0)</f>
        <v>17.95</v>
      </c>
      <c r="I48">
        <f t="shared" si="0"/>
        <v>17.95</v>
      </c>
      <c r="J48" t="str">
        <f t="shared" si="1"/>
        <v>Feb</v>
      </c>
      <c r="K48" t="str">
        <f t="shared" si="2"/>
        <v>Wednesday</v>
      </c>
      <c r="L48">
        <f t="shared" si="3"/>
        <v>13</v>
      </c>
    </row>
    <row r="49" spans="1:12" x14ac:dyDescent="0.3">
      <c r="A49">
        <v>47</v>
      </c>
      <c r="B49">
        <v>17</v>
      </c>
      <c r="C49" s="1">
        <v>44973</v>
      </c>
      <c r="D49" s="3">
        <v>0.57847222222222228</v>
      </c>
      <c r="E49">
        <v>117</v>
      </c>
      <c r="F49" t="s">
        <v>16</v>
      </c>
      <c r="G49" t="str">
        <f>VLOOKUP(E49,menu_items!A:C,3,0)</f>
        <v>Mexican</v>
      </c>
      <c r="H49">
        <f>VLOOKUP(E49, menu_items!A:D,4,0)</f>
        <v>12.95</v>
      </c>
      <c r="I49">
        <f t="shared" si="0"/>
        <v>12.95</v>
      </c>
      <c r="J49" t="str">
        <f t="shared" si="1"/>
        <v>Feb</v>
      </c>
      <c r="K49" t="str">
        <f t="shared" si="2"/>
        <v>Thursday</v>
      </c>
      <c r="L49">
        <f t="shared" si="3"/>
        <v>13</v>
      </c>
    </row>
    <row r="50" spans="1:12" x14ac:dyDescent="0.3">
      <c r="A50">
        <v>48</v>
      </c>
      <c r="B50">
        <v>17</v>
      </c>
      <c r="C50" s="1">
        <v>44974</v>
      </c>
      <c r="D50" s="3">
        <v>0.57847222222222228</v>
      </c>
      <c r="E50">
        <v>127</v>
      </c>
      <c r="F50" t="s">
        <v>37</v>
      </c>
      <c r="G50" t="str">
        <f>VLOOKUP(E50,menu_items!A:C,3,0)</f>
        <v>Italian</v>
      </c>
      <c r="H50">
        <f>VLOOKUP(E50, menu_items!A:D,4,0)</f>
        <v>17.95</v>
      </c>
      <c r="I50">
        <f t="shared" si="0"/>
        <v>17.95</v>
      </c>
      <c r="J50" t="str">
        <f t="shared" si="1"/>
        <v>Feb</v>
      </c>
      <c r="K50" t="str">
        <f t="shared" si="2"/>
        <v>Friday</v>
      </c>
      <c r="L50">
        <f t="shared" si="3"/>
        <v>13</v>
      </c>
    </row>
    <row r="51" spans="1:12" x14ac:dyDescent="0.3">
      <c r="A51">
        <v>49</v>
      </c>
      <c r="B51">
        <v>17</v>
      </c>
      <c r="C51" s="1">
        <v>44975</v>
      </c>
      <c r="D51" s="3">
        <v>0.57847222222222228</v>
      </c>
      <c r="E51">
        <v>128</v>
      </c>
      <c r="F51" t="s">
        <v>38</v>
      </c>
      <c r="G51" t="str">
        <f>VLOOKUP(E51,menu_items!A:C,3,0)</f>
        <v>Italian</v>
      </c>
      <c r="H51">
        <f>VLOOKUP(E51, menu_items!A:D,4,0)</f>
        <v>15.5</v>
      </c>
      <c r="I51">
        <f t="shared" si="0"/>
        <v>15.5</v>
      </c>
      <c r="J51" t="str">
        <f t="shared" si="1"/>
        <v>Feb</v>
      </c>
      <c r="K51" t="str">
        <f t="shared" si="2"/>
        <v>Saturday</v>
      </c>
      <c r="L51">
        <f t="shared" si="3"/>
        <v>13</v>
      </c>
    </row>
    <row r="52" spans="1:12" x14ac:dyDescent="0.3">
      <c r="A52">
        <v>50</v>
      </c>
      <c r="B52">
        <v>17</v>
      </c>
      <c r="C52" s="1">
        <v>44976</v>
      </c>
      <c r="D52" s="3">
        <v>0.57847222222222228</v>
      </c>
      <c r="E52">
        <v>129</v>
      </c>
      <c r="F52" t="s">
        <v>17</v>
      </c>
      <c r="G52" t="str">
        <f>VLOOKUP(E52,menu_items!A:C,3,0)</f>
        <v>Italian</v>
      </c>
      <c r="H52">
        <f>VLOOKUP(E52, menu_items!A:D,4,0)</f>
        <v>15.5</v>
      </c>
      <c r="I52">
        <f t="shared" si="0"/>
        <v>15.5</v>
      </c>
      <c r="J52" t="str">
        <f t="shared" si="1"/>
        <v>Feb</v>
      </c>
      <c r="K52" t="str">
        <f t="shared" si="2"/>
        <v>Sunday</v>
      </c>
      <c r="L52">
        <f t="shared" si="3"/>
        <v>13</v>
      </c>
    </row>
    <row r="53" spans="1:12" x14ac:dyDescent="0.3">
      <c r="A53">
        <v>51</v>
      </c>
      <c r="B53">
        <v>17</v>
      </c>
      <c r="C53" s="1">
        <v>44977</v>
      </c>
      <c r="D53" s="3">
        <v>0.57847222222222228</v>
      </c>
      <c r="E53">
        <v>118</v>
      </c>
      <c r="F53" t="s">
        <v>39</v>
      </c>
      <c r="G53" t="str">
        <f>VLOOKUP(E53,menu_items!A:C,3,0)</f>
        <v>Mexican</v>
      </c>
      <c r="H53">
        <f>VLOOKUP(E53, menu_items!A:D,4,0)</f>
        <v>14.95</v>
      </c>
      <c r="I53">
        <f t="shared" si="0"/>
        <v>14.95</v>
      </c>
      <c r="J53" t="str">
        <f t="shared" si="1"/>
        <v>Feb</v>
      </c>
      <c r="K53" t="str">
        <f t="shared" si="2"/>
        <v>Monday</v>
      </c>
      <c r="L53">
        <f t="shared" si="3"/>
        <v>13</v>
      </c>
    </row>
    <row r="54" spans="1:12" x14ac:dyDescent="0.3">
      <c r="A54">
        <v>52</v>
      </c>
      <c r="B54">
        <v>17</v>
      </c>
      <c r="C54" s="1">
        <v>44978</v>
      </c>
      <c r="D54" s="3">
        <v>0.57847222222222228</v>
      </c>
      <c r="E54">
        <v>131</v>
      </c>
      <c r="F54" t="s">
        <v>40</v>
      </c>
      <c r="G54" t="str">
        <f>VLOOKUP(E54,menu_items!A:C,3,0)</f>
        <v>Italian</v>
      </c>
      <c r="H54">
        <f>VLOOKUP(E54, menu_items!A:D,4,0)</f>
        <v>17.95</v>
      </c>
      <c r="I54">
        <f t="shared" si="0"/>
        <v>17.95</v>
      </c>
      <c r="J54" t="str">
        <f t="shared" si="1"/>
        <v>Feb</v>
      </c>
      <c r="K54" t="str">
        <f t="shared" si="2"/>
        <v>Tuesday</v>
      </c>
      <c r="L54">
        <f t="shared" si="3"/>
        <v>13</v>
      </c>
    </row>
    <row r="55" spans="1:12" x14ac:dyDescent="0.3">
      <c r="A55">
        <v>53</v>
      </c>
      <c r="B55">
        <v>18</v>
      </c>
      <c r="C55" s="1">
        <v>44979</v>
      </c>
      <c r="D55" s="3">
        <v>0.58134259259259258</v>
      </c>
      <c r="E55">
        <v>111</v>
      </c>
      <c r="F55" t="s">
        <v>35</v>
      </c>
      <c r="G55" t="str">
        <f>VLOOKUP(E55,menu_items!A:C,3,0)</f>
        <v>Asian</v>
      </c>
      <c r="H55">
        <f>VLOOKUP(E55, menu_items!A:D,4,0)</f>
        <v>11.95</v>
      </c>
      <c r="I55">
        <f t="shared" si="0"/>
        <v>11.95</v>
      </c>
      <c r="J55" t="str">
        <f t="shared" si="1"/>
        <v>Feb</v>
      </c>
      <c r="K55" t="str">
        <f t="shared" si="2"/>
        <v>Wednesday</v>
      </c>
      <c r="L55">
        <f t="shared" si="3"/>
        <v>13</v>
      </c>
    </row>
    <row r="56" spans="1:12" x14ac:dyDescent="0.3">
      <c r="A56">
        <v>54</v>
      </c>
      <c r="B56">
        <v>19</v>
      </c>
      <c r="C56" s="1">
        <v>44980</v>
      </c>
      <c r="D56" s="3">
        <v>0.5827430555555555</v>
      </c>
      <c r="E56">
        <v>110</v>
      </c>
      <c r="F56" t="s">
        <v>24</v>
      </c>
      <c r="G56" t="str">
        <f>VLOOKUP(E56,menu_items!A:C,3,0)</f>
        <v>Asian</v>
      </c>
      <c r="H56">
        <f>VLOOKUP(E56, menu_items!A:D,4,0)</f>
        <v>17.95</v>
      </c>
      <c r="I56">
        <f t="shared" si="0"/>
        <v>17.95</v>
      </c>
      <c r="J56" t="str">
        <f t="shared" si="1"/>
        <v>Feb</v>
      </c>
      <c r="K56" t="str">
        <f t="shared" si="2"/>
        <v>Thursday</v>
      </c>
      <c r="L56">
        <f t="shared" si="3"/>
        <v>13</v>
      </c>
    </row>
    <row r="57" spans="1:12" x14ac:dyDescent="0.3">
      <c r="A57">
        <v>55</v>
      </c>
      <c r="B57">
        <v>19</v>
      </c>
      <c r="C57" s="1">
        <v>44981</v>
      </c>
      <c r="D57" s="3">
        <v>0.5827430555555555</v>
      </c>
      <c r="E57">
        <v>120</v>
      </c>
      <c r="F57" t="s">
        <v>41</v>
      </c>
      <c r="G57" t="str">
        <f>VLOOKUP(E57,menu_items!A:C,3,0)</f>
        <v>Mexican</v>
      </c>
      <c r="H57">
        <f>VLOOKUP(E57, menu_items!A:D,4,0)</f>
        <v>13.95</v>
      </c>
      <c r="I57">
        <f t="shared" si="0"/>
        <v>13.95</v>
      </c>
      <c r="J57" t="str">
        <f t="shared" si="1"/>
        <v>Feb</v>
      </c>
      <c r="K57" t="str">
        <f t="shared" si="2"/>
        <v>Friday</v>
      </c>
      <c r="L57">
        <f t="shared" si="3"/>
        <v>13</v>
      </c>
    </row>
    <row r="58" spans="1:12" x14ac:dyDescent="0.3">
      <c r="A58">
        <v>56</v>
      </c>
      <c r="B58">
        <v>20</v>
      </c>
      <c r="C58" s="1">
        <v>44982</v>
      </c>
      <c r="D58" s="3">
        <v>0.58550925925925923</v>
      </c>
      <c r="E58">
        <v>107</v>
      </c>
      <c r="F58" t="s">
        <v>32</v>
      </c>
      <c r="G58" t="str">
        <f>VLOOKUP(E58,menu_items!A:C,3,0)</f>
        <v>Asian</v>
      </c>
      <c r="H58">
        <f>VLOOKUP(E58, menu_items!A:D,4,0)</f>
        <v>16.5</v>
      </c>
      <c r="I58">
        <f t="shared" si="0"/>
        <v>16.5</v>
      </c>
      <c r="J58" t="str">
        <f t="shared" si="1"/>
        <v>Feb</v>
      </c>
      <c r="K58" t="str">
        <f t="shared" si="2"/>
        <v>Saturday</v>
      </c>
      <c r="L58">
        <f t="shared" si="3"/>
        <v>14</v>
      </c>
    </row>
    <row r="59" spans="1:12" x14ac:dyDescent="0.3">
      <c r="A59">
        <v>57</v>
      </c>
      <c r="B59">
        <v>20</v>
      </c>
      <c r="C59" s="1">
        <v>44983</v>
      </c>
      <c r="D59" s="3">
        <v>0.58550925925925923</v>
      </c>
      <c r="E59">
        <v>124</v>
      </c>
      <c r="F59" t="s">
        <v>15</v>
      </c>
      <c r="G59" t="str">
        <f>VLOOKUP(E59,menu_items!A:C,3,0)</f>
        <v>Italian</v>
      </c>
      <c r="H59">
        <f>VLOOKUP(E59, menu_items!A:D,4,0)</f>
        <v>14.5</v>
      </c>
      <c r="I59">
        <f t="shared" si="0"/>
        <v>14.5</v>
      </c>
      <c r="J59" t="str">
        <f t="shared" si="1"/>
        <v>Feb</v>
      </c>
      <c r="K59" t="str">
        <f t="shared" si="2"/>
        <v>Sunday</v>
      </c>
      <c r="L59">
        <f t="shared" si="3"/>
        <v>14</v>
      </c>
    </row>
    <row r="60" spans="1:12" x14ac:dyDescent="0.3">
      <c r="A60">
        <v>58</v>
      </c>
      <c r="B60">
        <v>21</v>
      </c>
      <c r="C60" s="1">
        <v>44984</v>
      </c>
      <c r="D60" s="3">
        <v>0.59339120370370368</v>
      </c>
      <c r="E60">
        <v>110</v>
      </c>
      <c r="F60" t="s">
        <v>24</v>
      </c>
      <c r="G60" t="str">
        <f>VLOOKUP(E60,menu_items!A:C,3,0)</f>
        <v>Asian</v>
      </c>
      <c r="H60">
        <f>VLOOKUP(E60, menu_items!A:D,4,0)</f>
        <v>17.95</v>
      </c>
      <c r="I60">
        <f t="shared" si="0"/>
        <v>17.95</v>
      </c>
      <c r="J60" t="str">
        <f t="shared" si="1"/>
        <v>Feb</v>
      </c>
      <c r="K60" t="str">
        <f t="shared" si="2"/>
        <v>Monday</v>
      </c>
      <c r="L60">
        <f t="shared" si="3"/>
        <v>14</v>
      </c>
    </row>
    <row r="61" spans="1:12" x14ac:dyDescent="0.3">
      <c r="A61">
        <v>59</v>
      </c>
      <c r="B61">
        <v>22</v>
      </c>
      <c r="C61" s="1">
        <v>44985</v>
      </c>
      <c r="D61" s="3">
        <v>0.59474537037037034</v>
      </c>
      <c r="E61">
        <v>124</v>
      </c>
      <c r="F61" t="s">
        <v>15</v>
      </c>
      <c r="G61" t="str">
        <f>VLOOKUP(E61,menu_items!A:C,3,0)</f>
        <v>Italian</v>
      </c>
      <c r="H61">
        <f>VLOOKUP(E61, menu_items!A:D,4,0)</f>
        <v>14.5</v>
      </c>
      <c r="I61">
        <f t="shared" si="0"/>
        <v>14.5</v>
      </c>
      <c r="J61" t="str">
        <f t="shared" si="1"/>
        <v>Feb</v>
      </c>
      <c r="K61" t="str">
        <f t="shared" si="2"/>
        <v>Tuesday</v>
      </c>
      <c r="L61">
        <f t="shared" si="3"/>
        <v>14</v>
      </c>
    </row>
    <row r="62" spans="1:12" x14ac:dyDescent="0.3">
      <c r="A62">
        <v>60</v>
      </c>
      <c r="B62">
        <v>22</v>
      </c>
      <c r="C62" s="1">
        <v>44986</v>
      </c>
      <c r="D62" s="3">
        <v>0.59474537037037034</v>
      </c>
      <c r="E62">
        <v>110</v>
      </c>
      <c r="F62" t="s">
        <v>24</v>
      </c>
      <c r="G62" t="str">
        <f>VLOOKUP(E62,menu_items!A:C,3,0)</f>
        <v>Asian</v>
      </c>
      <c r="H62">
        <f>VLOOKUP(E62, menu_items!A:D,4,0)</f>
        <v>17.95</v>
      </c>
      <c r="I62">
        <f t="shared" si="0"/>
        <v>17.95</v>
      </c>
      <c r="J62" t="str">
        <f t="shared" si="1"/>
        <v>Mar</v>
      </c>
      <c r="K62" t="str">
        <f t="shared" si="2"/>
        <v>Wednesday</v>
      </c>
      <c r="L62">
        <f t="shared" si="3"/>
        <v>14</v>
      </c>
    </row>
    <row r="63" spans="1:12" x14ac:dyDescent="0.3">
      <c r="A63">
        <v>61</v>
      </c>
      <c r="B63">
        <v>22</v>
      </c>
      <c r="C63" s="1">
        <v>44987</v>
      </c>
      <c r="D63" s="3">
        <v>0.59474537037037034</v>
      </c>
      <c r="E63">
        <v>105</v>
      </c>
      <c r="F63" t="s">
        <v>28</v>
      </c>
      <c r="G63" t="str">
        <f>VLOOKUP(E63,menu_items!A:C,3,0)</f>
        <v>American</v>
      </c>
      <c r="H63">
        <f>VLOOKUP(E63, menu_items!A:D,4,0)</f>
        <v>7</v>
      </c>
      <c r="I63">
        <f t="shared" si="0"/>
        <v>7</v>
      </c>
      <c r="J63" t="str">
        <f t="shared" si="1"/>
        <v>Mar</v>
      </c>
      <c r="K63" t="str">
        <f t="shared" si="2"/>
        <v>Thursday</v>
      </c>
      <c r="L63">
        <f t="shared" si="3"/>
        <v>14</v>
      </c>
    </row>
    <row r="64" spans="1:12" x14ac:dyDescent="0.3">
      <c r="A64">
        <v>62</v>
      </c>
      <c r="B64">
        <v>23</v>
      </c>
      <c r="C64" s="1">
        <v>44988</v>
      </c>
      <c r="D64" s="3">
        <v>0.5965625</v>
      </c>
      <c r="E64">
        <v>105</v>
      </c>
      <c r="F64" t="s">
        <v>28</v>
      </c>
      <c r="G64" t="str">
        <f>VLOOKUP(E64,menu_items!A:C,3,0)</f>
        <v>American</v>
      </c>
      <c r="H64">
        <f>VLOOKUP(E64, menu_items!A:D,4,0)</f>
        <v>7</v>
      </c>
      <c r="I64">
        <f t="shared" si="0"/>
        <v>7</v>
      </c>
      <c r="J64" t="str">
        <f t="shared" si="1"/>
        <v>Mar</v>
      </c>
      <c r="K64" t="str">
        <f t="shared" si="2"/>
        <v>Friday</v>
      </c>
      <c r="L64">
        <f t="shared" si="3"/>
        <v>14</v>
      </c>
    </row>
    <row r="65" spans="1:12" x14ac:dyDescent="0.3">
      <c r="A65">
        <v>63</v>
      </c>
      <c r="B65">
        <v>24</v>
      </c>
      <c r="C65" s="1">
        <v>44989</v>
      </c>
      <c r="D65" s="3">
        <v>0.59931712962962957</v>
      </c>
      <c r="E65">
        <v>101</v>
      </c>
      <c r="F65" t="s">
        <v>20</v>
      </c>
      <c r="G65" t="str">
        <f>VLOOKUP(E65,menu_items!A:C,3,0)</f>
        <v>American</v>
      </c>
      <c r="H65">
        <f>VLOOKUP(E65, menu_items!A:D,4,0)</f>
        <v>12.95</v>
      </c>
      <c r="I65">
        <f t="shared" si="0"/>
        <v>12.95</v>
      </c>
      <c r="J65" t="str">
        <f t="shared" si="1"/>
        <v>Mar</v>
      </c>
      <c r="K65" t="str">
        <f t="shared" si="2"/>
        <v>Saturday</v>
      </c>
      <c r="L65">
        <f t="shared" si="3"/>
        <v>14</v>
      </c>
    </row>
    <row r="66" spans="1:12" x14ac:dyDescent="0.3">
      <c r="A66">
        <v>64</v>
      </c>
      <c r="B66">
        <v>24</v>
      </c>
      <c r="C66" s="1">
        <v>44990</v>
      </c>
      <c r="D66" s="3">
        <v>0.59931712962962957</v>
      </c>
      <c r="E66">
        <v>110</v>
      </c>
      <c r="F66" t="s">
        <v>24</v>
      </c>
      <c r="G66" t="str">
        <f>VLOOKUP(E66,menu_items!A:C,3,0)</f>
        <v>Asian</v>
      </c>
      <c r="H66">
        <f>VLOOKUP(E66, menu_items!A:D,4,0)</f>
        <v>17.95</v>
      </c>
      <c r="I66">
        <f t="shared" si="0"/>
        <v>17.95</v>
      </c>
      <c r="J66" t="str">
        <f t="shared" si="1"/>
        <v>Mar</v>
      </c>
      <c r="K66" t="str">
        <f t="shared" si="2"/>
        <v>Sunday</v>
      </c>
      <c r="L66">
        <f t="shared" si="3"/>
        <v>14</v>
      </c>
    </row>
    <row r="67" spans="1:12" x14ac:dyDescent="0.3">
      <c r="A67">
        <v>65</v>
      </c>
      <c r="B67">
        <v>24</v>
      </c>
      <c r="C67" s="1">
        <v>44991</v>
      </c>
      <c r="D67" s="3">
        <v>0.59931712962962957</v>
      </c>
      <c r="E67">
        <v>113</v>
      </c>
      <c r="F67" t="s">
        <v>30</v>
      </c>
      <c r="G67" t="str">
        <f>VLOOKUP(E67,menu_items!A:C,3,0)</f>
        <v>Asian</v>
      </c>
      <c r="H67">
        <f>VLOOKUP(E67, menu_items!A:D,4,0)</f>
        <v>5</v>
      </c>
      <c r="I67">
        <f t="shared" si="0"/>
        <v>5</v>
      </c>
      <c r="J67" t="str">
        <f t="shared" si="1"/>
        <v>Mar</v>
      </c>
      <c r="K67" t="str">
        <f t="shared" si="2"/>
        <v>Monday</v>
      </c>
      <c r="L67">
        <f t="shared" si="3"/>
        <v>14</v>
      </c>
    </row>
    <row r="68" spans="1:12" x14ac:dyDescent="0.3">
      <c r="A68">
        <v>66</v>
      </c>
      <c r="B68">
        <v>24</v>
      </c>
      <c r="C68" s="1">
        <v>44992</v>
      </c>
      <c r="D68" s="3">
        <v>0.59931712962962957</v>
      </c>
      <c r="E68">
        <v>119</v>
      </c>
      <c r="F68" t="s">
        <v>19</v>
      </c>
      <c r="G68" t="str">
        <f>VLOOKUP(E68,menu_items!A:C,3,0)</f>
        <v>Mexican</v>
      </c>
      <c r="H68">
        <f>VLOOKUP(E68, menu_items!A:D,4,0)</f>
        <v>11.95</v>
      </c>
      <c r="I68">
        <f t="shared" ref="I68:I123" si="4">H68</f>
        <v>11.95</v>
      </c>
      <c r="J68" t="str">
        <f t="shared" ref="J68:J123" si="5">TEXT(C68,"mmm")</f>
        <v>Mar</v>
      </c>
      <c r="K68" t="str">
        <f t="shared" ref="K68:K123" si="6">TEXT(C68,"dddd")</f>
        <v>Tuesday</v>
      </c>
      <c r="L68">
        <f t="shared" ref="L68:L123" si="7">HOUR(D68)</f>
        <v>14</v>
      </c>
    </row>
    <row r="69" spans="1:12" x14ac:dyDescent="0.3">
      <c r="A69">
        <v>67</v>
      </c>
      <c r="B69">
        <v>25</v>
      </c>
      <c r="C69" s="1">
        <v>44993</v>
      </c>
      <c r="D69" s="3">
        <v>0.61439814814814819</v>
      </c>
      <c r="E69">
        <v>120</v>
      </c>
      <c r="F69" t="s">
        <v>41</v>
      </c>
      <c r="G69" t="str">
        <f>VLOOKUP(E69,menu_items!A:C,3,0)</f>
        <v>Mexican</v>
      </c>
      <c r="H69">
        <f>VLOOKUP(E69, menu_items!A:D,4,0)</f>
        <v>13.95</v>
      </c>
      <c r="I69">
        <f t="shared" si="4"/>
        <v>13.95</v>
      </c>
      <c r="J69" t="str">
        <f t="shared" si="5"/>
        <v>Mar</v>
      </c>
      <c r="K69" t="str">
        <f t="shared" si="6"/>
        <v>Wednesday</v>
      </c>
      <c r="L69">
        <f t="shared" si="7"/>
        <v>14</v>
      </c>
    </row>
    <row r="70" spans="1:12" x14ac:dyDescent="0.3">
      <c r="A70">
        <v>68</v>
      </c>
      <c r="B70">
        <v>25</v>
      </c>
      <c r="C70" s="1">
        <v>44994</v>
      </c>
      <c r="D70" s="3">
        <v>0.61439814814814819</v>
      </c>
      <c r="E70">
        <v>106</v>
      </c>
      <c r="F70" t="s">
        <v>18</v>
      </c>
      <c r="G70" t="str">
        <f>VLOOKUP(E70,menu_items!A:C,3,0)</f>
        <v>American</v>
      </c>
      <c r="H70">
        <f>VLOOKUP(E70, menu_items!A:D,4,0)</f>
        <v>7</v>
      </c>
      <c r="I70">
        <f t="shared" si="4"/>
        <v>7</v>
      </c>
      <c r="J70" t="str">
        <f t="shared" si="5"/>
        <v>Mar</v>
      </c>
      <c r="K70" t="str">
        <f t="shared" si="6"/>
        <v>Thursday</v>
      </c>
      <c r="L70">
        <f t="shared" si="7"/>
        <v>14</v>
      </c>
    </row>
    <row r="71" spans="1:12" x14ac:dyDescent="0.3">
      <c r="A71">
        <v>69</v>
      </c>
      <c r="B71">
        <v>26</v>
      </c>
      <c r="C71" s="1">
        <v>44995</v>
      </c>
      <c r="D71" s="3">
        <v>0.62113425925925925</v>
      </c>
      <c r="E71">
        <v>108</v>
      </c>
      <c r="F71" t="s">
        <v>14</v>
      </c>
      <c r="G71" t="str">
        <f>VLOOKUP(E71,menu_items!A:C,3,0)</f>
        <v>Asian</v>
      </c>
      <c r="H71">
        <f>VLOOKUP(E71, menu_items!A:D,4,0)</f>
        <v>14.5</v>
      </c>
      <c r="I71">
        <f t="shared" si="4"/>
        <v>14.5</v>
      </c>
      <c r="J71" t="str">
        <f t="shared" si="5"/>
        <v>Mar</v>
      </c>
      <c r="K71" t="str">
        <f t="shared" si="6"/>
        <v>Friday</v>
      </c>
      <c r="L71">
        <f t="shared" si="7"/>
        <v>14</v>
      </c>
    </row>
    <row r="72" spans="1:12" x14ac:dyDescent="0.3">
      <c r="A72">
        <v>70</v>
      </c>
      <c r="B72">
        <v>26</v>
      </c>
      <c r="C72" s="1">
        <v>44996</v>
      </c>
      <c r="D72" s="3">
        <v>0.62113425925925925</v>
      </c>
      <c r="E72">
        <v>132</v>
      </c>
      <c r="F72" t="s">
        <v>27</v>
      </c>
      <c r="G72" t="str">
        <f>VLOOKUP(E72,menu_items!A:C,3,0)</f>
        <v>Italian</v>
      </c>
      <c r="H72">
        <f>VLOOKUP(E72, menu_items!A:D,4,0)</f>
        <v>16.95</v>
      </c>
      <c r="I72">
        <f t="shared" si="4"/>
        <v>16.95</v>
      </c>
      <c r="J72" t="str">
        <f t="shared" si="5"/>
        <v>Mar</v>
      </c>
      <c r="K72" t="str">
        <f t="shared" si="6"/>
        <v>Saturday</v>
      </c>
      <c r="L72">
        <f t="shared" si="7"/>
        <v>14</v>
      </c>
    </row>
    <row r="73" spans="1:12" x14ac:dyDescent="0.3">
      <c r="A73">
        <v>71</v>
      </c>
      <c r="B73">
        <v>27</v>
      </c>
      <c r="C73" s="1">
        <v>44997</v>
      </c>
      <c r="D73" s="3">
        <v>0.63283564814814819</v>
      </c>
      <c r="E73">
        <v>101</v>
      </c>
      <c r="F73" t="s">
        <v>20</v>
      </c>
      <c r="G73" t="str">
        <f>VLOOKUP(E73,menu_items!A:C,3,0)</f>
        <v>American</v>
      </c>
      <c r="H73">
        <f>VLOOKUP(E73, menu_items!A:D,4,0)</f>
        <v>12.95</v>
      </c>
      <c r="I73">
        <f t="shared" si="4"/>
        <v>12.95</v>
      </c>
      <c r="J73" t="str">
        <f t="shared" si="5"/>
        <v>Mar</v>
      </c>
      <c r="K73" t="str">
        <f t="shared" si="6"/>
        <v>Sunday</v>
      </c>
      <c r="L73">
        <f t="shared" si="7"/>
        <v>15</v>
      </c>
    </row>
    <row r="74" spans="1:12" x14ac:dyDescent="0.3">
      <c r="A74">
        <v>72</v>
      </c>
      <c r="B74">
        <v>27</v>
      </c>
      <c r="C74" s="1">
        <v>44998</v>
      </c>
      <c r="D74" s="3">
        <v>0.63283564814814819</v>
      </c>
      <c r="E74">
        <v>108</v>
      </c>
      <c r="F74" t="s">
        <v>14</v>
      </c>
      <c r="G74" t="str">
        <f>VLOOKUP(E74,menu_items!A:C,3,0)</f>
        <v>Asian</v>
      </c>
      <c r="H74">
        <f>VLOOKUP(E74, menu_items!A:D,4,0)</f>
        <v>14.5</v>
      </c>
      <c r="I74">
        <f t="shared" si="4"/>
        <v>14.5</v>
      </c>
      <c r="J74" t="str">
        <f t="shared" si="5"/>
        <v>Mar</v>
      </c>
      <c r="K74" t="str">
        <f t="shared" si="6"/>
        <v>Monday</v>
      </c>
      <c r="L74">
        <f t="shared" si="7"/>
        <v>15</v>
      </c>
    </row>
    <row r="75" spans="1:12" x14ac:dyDescent="0.3">
      <c r="A75">
        <v>73</v>
      </c>
      <c r="B75">
        <v>27</v>
      </c>
      <c r="C75" s="1">
        <v>44999</v>
      </c>
      <c r="D75" s="3">
        <v>0.63283564814814819</v>
      </c>
      <c r="E75">
        <v>131</v>
      </c>
      <c r="F75" t="s">
        <v>40</v>
      </c>
      <c r="G75" t="str">
        <f>VLOOKUP(E75,menu_items!A:C,3,0)</f>
        <v>Italian</v>
      </c>
      <c r="H75">
        <f>VLOOKUP(E75, menu_items!A:D,4,0)</f>
        <v>17.95</v>
      </c>
      <c r="I75">
        <f t="shared" si="4"/>
        <v>17.95</v>
      </c>
      <c r="J75" t="str">
        <f t="shared" si="5"/>
        <v>Mar</v>
      </c>
      <c r="K75" t="str">
        <f t="shared" si="6"/>
        <v>Tuesday</v>
      </c>
      <c r="L75">
        <f t="shared" si="7"/>
        <v>15</v>
      </c>
    </row>
    <row r="76" spans="1:12" x14ac:dyDescent="0.3">
      <c r="A76">
        <v>74</v>
      </c>
      <c r="B76">
        <v>28</v>
      </c>
      <c r="C76" s="1">
        <v>45000</v>
      </c>
      <c r="D76" s="3">
        <v>0.64983796296296292</v>
      </c>
      <c r="E76">
        <v>103</v>
      </c>
      <c r="F76" t="s">
        <v>42</v>
      </c>
      <c r="G76" t="str">
        <f>VLOOKUP(E76,menu_items!A:C,3,0)</f>
        <v>American</v>
      </c>
      <c r="H76">
        <f>VLOOKUP(E76, menu_items!A:D,4,0)</f>
        <v>9</v>
      </c>
      <c r="I76">
        <f t="shared" si="4"/>
        <v>9</v>
      </c>
      <c r="J76" t="str">
        <f t="shared" si="5"/>
        <v>Mar</v>
      </c>
      <c r="K76" t="str">
        <f t="shared" si="6"/>
        <v>Wednesday</v>
      </c>
      <c r="L76">
        <f t="shared" si="7"/>
        <v>15</v>
      </c>
    </row>
    <row r="77" spans="1:12" x14ac:dyDescent="0.3">
      <c r="A77">
        <v>75</v>
      </c>
      <c r="B77">
        <v>29</v>
      </c>
      <c r="C77" s="1">
        <v>45001</v>
      </c>
      <c r="D77" s="3">
        <v>0.65348379629629627</v>
      </c>
      <c r="E77">
        <v>126</v>
      </c>
      <c r="F77" t="s">
        <v>23</v>
      </c>
      <c r="G77" t="str">
        <f>VLOOKUP(E77,menu_items!A:C,3,0)</f>
        <v>Italian</v>
      </c>
      <c r="H77">
        <f>VLOOKUP(E77, menu_items!A:D,4,0)</f>
        <v>14.5</v>
      </c>
      <c r="I77">
        <f t="shared" si="4"/>
        <v>14.5</v>
      </c>
      <c r="J77" t="str">
        <f t="shared" si="5"/>
        <v>Mar</v>
      </c>
      <c r="K77" t="str">
        <f t="shared" si="6"/>
        <v>Thursday</v>
      </c>
      <c r="L77">
        <f t="shared" si="7"/>
        <v>15</v>
      </c>
    </row>
    <row r="78" spans="1:12" x14ac:dyDescent="0.3">
      <c r="A78">
        <v>76</v>
      </c>
      <c r="B78">
        <v>30</v>
      </c>
      <c r="C78" s="1">
        <v>45002</v>
      </c>
      <c r="D78" s="3">
        <v>0.65376157407407409</v>
      </c>
      <c r="E78">
        <v>106</v>
      </c>
      <c r="F78" t="s">
        <v>18</v>
      </c>
      <c r="G78" t="str">
        <f>VLOOKUP(E78,menu_items!A:C,3,0)</f>
        <v>American</v>
      </c>
      <c r="H78">
        <f>VLOOKUP(E78, menu_items!A:D,4,0)</f>
        <v>7</v>
      </c>
      <c r="I78">
        <f t="shared" si="4"/>
        <v>7</v>
      </c>
      <c r="J78" t="str">
        <f t="shared" si="5"/>
        <v>Mar</v>
      </c>
      <c r="K78" t="str">
        <f t="shared" si="6"/>
        <v>Friday</v>
      </c>
      <c r="L78">
        <f t="shared" si="7"/>
        <v>15</v>
      </c>
    </row>
    <row r="79" spans="1:12" x14ac:dyDescent="0.3">
      <c r="A79">
        <v>77</v>
      </c>
      <c r="B79">
        <v>31</v>
      </c>
      <c r="C79" s="1">
        <v>45003</v>
      </c>
      <c r="D79" s="3">
        <v>0.65993055555555558</v>
      </c>
      <c r="E79">
        <v>129</v>
      </c>
      <c r="F79" t="s">
        <v>17</v>
      </c>
      <c r="G79" t="str">
        <f>VLOOKUP(E79,menu_items!A:C,3,0)</f>
        <v>Italian</v>
      </c>
      <c r="H79">
        <f>VLOOKUP(E79, menu_items!A:D,4,0)</f>
        <v>15.5</v>
      </c>
      <c r="I79">
        <f t="shared" si="4"/>
        <v>15.5</v>
      </c>
      <c r="J79" t="str">
        <f t="shared" si="5"/>
        <v>Mar</v>
      </c>
      <c r="K79" t="str">
        <f t="shared" si="6"/>
        <v>Saturday</v>
      </c>
      <c r="L79">
        <f t="shared" si="7"/>
        <v>15</v>
      </c>
    </row>
    <row r="80" spans="1:12" x14ac:dyDescent="0.3">
      <c r="A80">
        <v>78</v>
      </c>
      <c r="B80">
        <v>31</v>
      </c>
      <c r="C80" s="1">
        <v>45004</v>
      </c>
      <c r="D80" s="3">
        <v>0.65993055555555558</v>
      </c>
      <c r="E80">
        <v>113</v>
      </c>
      <c r="F80" t="s">
        <v>30</v>
      </c>
      <c r="G80" t="str">
        <f>VLOOKUP(E80,menu_items!A:C,3,0)</f>
        <v>Asian</v>
      </c>
      <c r="H80">
        <f>VLOOKUP(E80, menu_items!A:D,4,0)</f>
        <v>5</v>
      </c>
      <c r="I80">
        <f t="shared" si="4"/>
        <v>5</v>
      </c>
      <c r="J80" t="str">
        <f t="shared" si="5"/>
        <v>Mar</v>
      </c>
      <c r="K80" t="str">
        <f t="shared" si="6"/>
        <v>Sunday</v>
      </c>
      <c r="L80">
        <f t="shared" si="7"/>
        <v>15</v>
      </c>
    </row>
    <row r="81" spans="1:12" x14ac:dyDescent="0.3">
      <c r="A81">
        <v>79</v>
      </c>
      <c r="B81">
        <v>32</v>
      </c>
      <c r="C81" s="1">
        <v>45005</v>
      </c>
      <c r="D81" s="3">
        <v>0.6620138888888889</v>
      </c>
      <c r="E81">
        <v>107</v>
      </c>
      <c r="F81" t="s">
        <v>32</v>
      </c>
      <c r="G81" t="str">
        <f>VLOOKUP(E81,menu_items!A:C,3,0)</f>
        <v>Asian</v>
      </c>
      <c r="H81">
        <f>VLOOKUP(E81, menu_items!A:D,4,0)</f>
        <v>16.5</v>
      </c>
      <c r="I81">
        <f t="shared" si="4"/>
        <v>16.5</v>
      </c>
      <c r="J81" t="str">
        <f t="shared" si="5"/>
        <v>Mar</v>
      </c>
      <c r="K81" t="str">
        <f t="shared" si="6"/>
        <v>Monday</v>
      </c>
      <c r="L81">
        <f t="shared" si="7"/>
        <v>15</v>
      </c>
    </row>
    <row r="82" spans="1:12" x14ac:dyDescent="0.3">
      <c r="A82">
        <v>80</v>
      </c>
      <c r="B82">
        <v>32</v>
      </c>
      <c r="C82" s="1">
        <v>45006</v>
      </c>
      <c r="D82" s="3">
        <v>0.6620138888888889</v>
      </c>
      <c r="E82">
        <v>126</v>
      </c>
      <c r="F82" t="s">
        <v>23</v>
      </c>
      <c r="G82" t="str">
        <f>VLOOKUP(E82,menu_items!A:C,3,0)</f>
        <v>Italian</v>
      </c>
      <c r="H82">
        <f>VLOOKUP(E82, menu_items!A:D,4,0)</f>
        <v>14.5</v>
      </c>
      <c r="I82">
        <f t="shared" si="4"/>
        <v>14.5</v>
      </c>
      <c r="J82" t="str">
        <f t="shared" si="5"/>
        <v>Mar</v>
      </c>
      <c r="K82" t="str">
        <f t="shared" si="6"/>
        <v>Tuesday</v>
      </c>
      <c r="L82">
        <f t="shared" si="7"/>
        <v>15</v>
      </c>
    </row>
    <row r="83" spans="1:12" x14ac:dyDescent="0.3">
      <c r="A83">
        <v>81</v>
      </c>
      <c r="B83">
        <v>32</v>
      </c>
      <c r="C83" s="1">
        <v>45007</v>
      </c>
      <c r="D83" s="3">
        <v>0.6620138888888889</v>
      </c>
      <c r="E83">
        <v>110</v>
      </c>
      <c r="F83" t="s">
        <v>24</v>
      </c>
      <c r="G83" t="str">
        <f>VLOOKUP(E83,menu_items!A:C,3,0)</f>
        <v>Asian</v>
      </c>
      <c r="H83">
        <f>VLOOKUP(E83, menu_items!A:D,4,0)</f>
        <v>17.95</v>
      </c>
      <c r="I83">
        <f t="shared" si="4"/>
        <v>17.95</v>
      </c>
      <c r="J83" t="str">
        <f t="shared" si="5"/>
        <v>Mar</v>
      </c>
      <c r="K83" t="str">
        <f t="shared" si="6"/>
        <v>Wednesday</v>
      </c>
      <c r="L83">
        <f t="shared" si="7"/>
        <v>15</v>
      </c>
    </row>
    <row r="84" spans="1:12" x14ac:dyDescent="0.3">
      <c r="A84">
        <v>82</v>
      </c>
      <c r="B84">
        <v>32</v>
      </c>
      <c r="C84" s="1">
        <v>45008</v>
      </c>
      <c r="D84" s="3">
        <v>0.6620138888888889</v>
      </c>
      <c r="E84">
        <v>117</v>
      </c>
      <c r="F84" t="s">
        <v>16</v>
      </c>
      <c r="G84" t="str">
        <f>VLOOKUP(E84,menu_items!A:C,3,0)</f>
        <v>Mexican</v>
      </c>
      <c r="H84">
        <f>VLOOKUP(E84, menu_items!A:D,4,0)</f>
        <v>12.95</v>
      </c>
      <c r="I84">
        <f t="shared" si="4"/>
        <v>12.95</v>
      </c>
      <c r="J84" t="str">
        <f t="shared" si="5"/>
        <v>Mar</v>
      </c>
      <c r="K84" t="str">
        <f t="shared" si="6"/>
        <v>Thursday</v>
      </c>
      <c r="L84">
        <f t="shared" si="7"/>
        <v>15</v>
      </c>
    </row>
    <row r="85" spans="1:12" x14ac:dyDescent="0.3">
      <c r="A85">
        <v>83</v>
      </c>
      <c r="B85">
        <v>33</v>
      </c>
      <c r="C85" s="1">
        <v>45009</v>
      </c>
      <c r="D85" s="3">
        <v>0.66259259259259262</v>
      </c>
      <c r="E85">
        <v>101</v>
      </c>
      <c r="F85" t="s">
        <v>20</v>
      </c>
      <c r="G85" t="str">
        <f>VLOOKUP(E85,menu_items!A:C,3,0)</f>
        <v>American</v>
      </c>
      <c r="H85">
        <f>VLOOKUP(E85, menu_items!A:D,4,0)</f>
        <v>12.95</v>
      </c>
      <c r="I85">
        <f t="shared" si="4"/>
        <v>12.95</v>
      </c>
      <c r="J85" t="str">
        <f t="shared" si="5"/>
        <v>Mar</v>
      </c>
      <c r="K85" t="str">
        <f t="shared" si="6"/>
        <v>Friday</v>
      </c>
      <c r="L85">
        <f t="shared" si="7"/>
        <v>15</v>
      </c>
    </row>
    <row r="86" spans="1:12" x14ac:dyDescent="0.3">
      <c r="A86">
        <v>84</v>
      </c>
      <c r="B86">
        <v>33</v>
      </c>
      <c r="C86" s="1">
        <v>45010</v>
      </c>
      <c r="D86" s="3">
        <v>0.66259259259259262</v>
      </c>
      <c r="E86">
        <v>126</v>
      </c>
      <c r="F86" t="s">
        <v>23</v>
      </c>
      <c r="G86" t="str">
        <f>VLOOKUP(E86,menu_items!A:C,3,0)</f>
        <v>Italian</v>
      </c>
      <c r="H86">
        <f>VLOOKUP(E86, menu_items!A:D,4,0)</f>
        <v>14.5</v>
      </c>
      <c r="I86">
        <f t="shared" si="4"/>
        <v>14.5</v>
      </c>
      <c r="J86" t="str">
        <f t="shared" si="5"/>
        <v>Mar</v>
      </c>
      <c r="K86" t="str">
        <f t="shared" si="6"/>
        <v>Saturday</v>
      </c>
      <c r="L86">
        <f t="shared" si="7"/>
        <v>15</v>
      </c>
    </row>
    <row r="87" spans="1:12" x14ac:dyDescent="0.3">
      <c r="A87">
        <v>85</v>
      </c>
      <c r="B87">
        <v>34</v>
      </c>
      <c r="C87" s="1">
        <v>45011</v>
      </c>
      <c r="D87" s="3">
        <v>0.6814930555555555</v>
      </c>
      <c r="E87">
        <v>114</v>
      </c>
      <c r="F87" t="s">
        <v>21</v>
      </c>
      <c r="G87" t="str">
        <f>VLOOKUP(E87,menu_items!A:C,3,0)</f>
        <v>Asian</v>
      </c>
      <c r="H87">
        <f>VLOOKUP(E87, menu_items!A:D,4,0)</f>
        <v>9</v>
      </c>
      <c r="I87">
        <f t="shared" si="4"/>
        <v>9</v>
      </c>
      <c r="J87" t="str">
        <f t="shared" si="5"/>
        <v>Mar</v>
      </c>
      <c r="K87" t="str">
        <f t="shared" si="6"/>
        <v>Sunday</v>
      </c>
      <c r="L87">
        <f t="shared" si="7"/>
        <v>16</v>
      </c>
    </row>
    <row r="88" spans="1:12" x14ac:dyDescent="0.3">
      <c r="A88">
        <v>86</v>
      </c>
      <c r="B88">
        <v>35</v>
      </c>
      <c r="C88" s="1">
        <v>45012</v>
      </c>
      <c r="D88" s="3">
        <v>0.68893518518518515</v>
      </c>
      <c r="E88">
        <v>126</v>
      </c>
      <c r="F88" t="s">
        <v>23</v>
      </c>
      <c r="G88" t="str">
        <f>VLOOKUP(E88,menu_items!A:C,3,0)</f>
        <v>Italian</v>
      </c>
      <c r="H88">
        <f>VLOOKUP(E88, menu_items!A:D,4,0)</f>
        <v>14.5</v>
      </c>
      <c r="I88">
        <f t="shared" si="4"/>
        <v>14.5</v>
      </c>
      <c r="J88" t="str">
        <f t="shared" si="5"/>
        <v>Mar</v>
      </c>
      <c r="K88" t="str">
        <f t="shared" si="6"/>
        <v>Monday</v>
      </c>
      <c r="L88">
        <f t="shared" si="7"/>
        <v>16</v>
      </c>
    </row>
    <row r="89" spans="1:12" x14ac:dyDescent="0.3">
      <c r="A89">
        <v>87</v>
      </c>
      <c r="B89">
        <v>35</v>
      </c>
      <c r="C89" s="1">
        <v>45013</v>
      </c>
      <c r="D89" s="3">
        <v>0.68893518518518515</v>
      </c>
      <c r="E89">
        <v>112</v>
      </c>
      <c r="F89" t="s">
        <v>43</v>
      </c>
      <c r="G89" t="str">
        <f>VLOOKUP(E89,menu_items!A:C,3,0)</f>
        <v>Asian</v>
      </c>
      <c r="H89">
        <f>VLOOKUP(E89, menu_items!A:D,4,0)</f>
        <v>14.95</v>
      </c>
      <c r="I89">
        <f t="shared" si="4"/>
        <v>14.95</v>
      </c>
      <c r="J89" t="str">
        <f t="shared" si="5"/>
        <v>Mar</v>
      </c>
      <c r="K89" t="str">
        <f t="shared" si="6"/>
        <v>Tuesday</v>
      </c>
      <c r="L89">
        <f t="shared" si="7"/>
        <v>16</v>
      </c>
    </row>
    <row r="90" spans="1:12" x14ac:dyDescent="0.3">
      <c r="A90">
        <v>88</v>
      </c>
      <c r="B90">
        <v>35</v>
      </c>
      <c r="C90" s="1">
        <v>45014</v>
      </c>
      <c r="D90" s="3">
        <v>0.68893518518518515</v>
      </c>
      <c r="E90">
        <v>113</v>
      </c>
      <c r="F90" t="s">
        <v>30</v>
      </c>
      <c r="G90" t="str">
        <f>VLOOKUP(E90,menu_items!A:C,3,0)</f>
        <v>Asian</v>
      </c>
      <c r="H90">
        <f>VLOOKUP(E90, menu_items!A:D,4,0)</f>
        <v>5</v>
      </c>
      <c r="I90">
        <f t="shared" si="4"/>
        <v>5</v>
      </c>
      <c r="J90" t="str">
        <f t="shared" si="5"/>
        <v>Mar</v>
      </c>
      <c r="K90" t="str">
        <f t="shared" si="6"/>
        <v>Wednesday</v>
      </c>
      <c r="L90">
        <f t="shared" si="7"/>
        <v>16</v>
      </c>
    </row>
    <row r="91" spans="1:12" x14ac:dyDescent="0.3">
      <c r="A91">
        <v>89</v>
      </c>
      <c r="B91">
        <v>35</v>
      </c>
      <c r="C91" s="1">
        <v>45015</v>
      </c>
      <c r="D91" s="3">
        <v>0.68893518518518515</v>
      </c>
      <c r="E91">
        <v>106</v>
      </c>
      <c r="F91" t="s">
        <v>18</v>
      </c>
      <c r="G91" t="str">
        <f>VLOOKUP(E91,menu_items!A:C,3,0)</f>
        <v>American</v>
      </c>
      <c r="H91">
        <f>VLOOKUP(E91, menu_items!A:D,4,0)</f>
        <v>7</v>
      </c>
      <c r="I91">
        <f t="shared" si="4"/>
        <v>7</v>
      </c>
      <c r="J91" t="str">
        <f t="shared" si="5"/>
        <v>Mar</v>
      </c>
      <c r="K91" t="str">
        <f t="shared" si="6"/>
        <v>Thursday</v>
      </c>
      <c r="L91">
        <f t="shared" si="7"/>
        <v>16</v>
      </c>
    </row>
    <row r="92" spans="1:12" x14ac:dyDescent="0.3">
      <c r="A92">
        <v>90</v>
      </c>
      <c r="B92">
        <v>36</v>
      </c>
      <c r="C92" s="1">
        <v>45016</v>
      </c>
      <c r="D92" s="3">
        <v>0.70427083333333329</v>
      </c>
      <c r="E92">
        <v>101</v>
      </c>
      <c r="F92" t="s">
        <v>20</v>
      </c>
      <c r="G92" t="str">
        <f>VLOOKUP(E92,menu_items!A:C,3,0)</f>
        <v>American</v>
      </c>
      <c r="H92">
        <f>VLOOKUP(E92, menu_items!A:D,4,0)</f>
        <v>12.95</v>
      </c>
      <c r="I92">
        <f t="shared" si="4"/>
        <v>12.95</v>
      </c>
      <c r="J92" t="str">
        <f t="shared" si="5"/>
        <v>Mar</v>
      </c>
      <c r="K92" t="str">
        <f t="shared" si="6"/>
        <v>Friday</v>
      </c>
      <c r="L92">
        <f t="shared" si="7"/>
        <v>16</v>
      </c>
    </row>
    <row r="93" spans="1:12" x14ac:dyDescent="0.3">
      <c r="A93">
        <v>91</v>
      </c>
      <c r="B93">
        <v>36</v>
      </c>
      <c r="C93" s="1">
        <v>45017</v>
      </c>
      <c r="D93" s="3">
        <v>0.70427083333333329</v>
      </c>
      <c r="E93">
        <v>108</v>
      </c>
      <c r="F93" t="s">
        <v>14</v>
      </c>
      <c r="G93" t="str">
        <f>VLOOKUP(E93,menu_items!A:C,3,0)</f>
        <v>Asian</v>
      </c>
      <c r="H93">
        <f>VLOOKUP(E93, menu_items!A:D,4,0)</f>
        <v>14.5</v>
      </c>
      <c r="I93">
        <f t="shared" si="4"/>
        <v>14.5</v>
      </c>
      <c r="J93" t="str">
        <f t="shared" si="5"/>
        <v>Apr</v>
      </c>
      <c r="K93" t="str">
        <f t="shared" si="6"/>
        <v>Saturday</v>
      </c>
      <c r="L93">
        <f t="shared" si="7"/>
        <v>16</v>
      </c>
    </row>
    <row r="94" spans="1:12" x14ac:dyDescent="0.3">
      <c r="A94">
        <v>92</v>
      </c>
      <c r="B94">
        <v>37</v>
      </c>
      <c r="C94" s="1">
        <v>45018</v>
      </c>
      <c r="D94" s="3">
        <v>0.70565972222222217</v>
      </c>
      <c r="E94">
        <v>117</v>
      </c>
      <c r="F94" t="s">
        <v>16</v>
      </c>
      <c r="G94" t="str">
        <f>VLOOKUP(E94,menu_items!A:C,3,0)</f>
        <v>Mexican</v>
      </c>
      <c r="H94">
        <f>VLOOKUP(E94, menu_items!A:D,4,0)</f>
        <v>12.95</v>
      </c>
      <c r="I94">
        <f t="shared" si="4"/>
        <v>12.95</v>
      </c>
      <c r="J94" t="str">
        <f t="shared" si="5"/>
        <v>Apr</v>
      </c>
      <c r="K94" t="str">
        <f t="shared" si="6"/>
        <v>Sunday</v>
      </c>
      <c r="L94">
        <f t="shared" si="7"/>
        <v>16</v>
      </c>
    </row>
    <row r="95" spans="1:12" x14ac:dyDescent="0.3">
      <c r="A95">
        <v>93</v>
      </c>
      <c r="B95">
        <v>37</v>
      </c>
      <c r="C95" s="1">
        <v>45019</v>
      </c>
      <c r="D95" s="3">
        <v>0.70565972222222217</v>
      </c>
      <c r="E95">
        <v>129</v>
      </c>
      <c r="F95" t="s">
        <v>17</v>
      </c>
      <c r="G95" t="str">
        <f>VLOOKUP(E95,menu_items!A:C,3,0)</f>
        <v>Italian</v>
      </c>
      <c r="H95">
        <f>VLOOKUP(E95, menu_items!A:D,4,0)</f>
        <v>15.5</v>
      </c>
      <c r="I95">
        <f t="shared" si="4"/>
        <v>15.5</v>
      </c>
      <c r="J95" t="str">
        <f t="shared" si="5"/>
        <v>Apr</v>
      </c>
      <c r="K95" t="str">
        <f t="shared" si="6"/>
        <v>Monday</v>
      </c>
      <c r="L95">
        <f t="shared" si="7"/>
        <v>16</v>
      </c>
    </row>
    <row r="96" spans="1:12" x14ac:dyDescent="0.3">
      <c r="A96">
        <v>94</v>
      </c>
      <c r="B96">
        <v>38</v>
      </c>
      <c r="C96" s="1">
        <v>45020</v>
      </c>
      <c r="D96" s="3">
        <v>0.7104166666666667</v>
      </c>
      <c r="E96">
        <v>109</v>
      </c>
      <c r="F96" t="s">
        <v>12</v>
      </c>
      <c r="G96" t="str">
        <f>VLOOKUP(E96,menu_items!A:C,3,0)</f>
        <v>Asian</v>
      </c>
      <c r="H96">
        <f>VLOOKUP(E96, menu_items!A:D,4,0)</f>
        <v>17.95</v>
      </c>
      <c r="I96">
        <f t="shared" si="4"/>
        <v>17.95</v>
      </c>
      <c r="J96" t="str">
        <f t="shared" si="5"/>
        <v>Apr</v>
      </c>
      <c r="K96" t="str">
        <f t="shared" si="6"/>
        <v>Tuesday</v>
      </c>
      <c r="L96">
        <f t="shared" si="7"/>
        <v>17</v>
      </c>
    </row>
    <row r="97" spans="1:12" x14ac:dyDescent="0.3">
      <c r="A97">
        <v>95</v>
      </c>
      <c r="B97">
        <v>38</v>
      </c>
      <c r="C97" s="1">
        <v>45021</v>
      </c>
      <c r="D97" s="3">
        <v>0.7104166666666667</v>
      </c>
      <c r="E97">
        <v>110</v>
      </c>
      <c r="F97" t="s">
        <v>24</v>
      </c>
      <c r="G97" t="str">
        <f>VLOOKUP(E97,menu_items!A:C,3,0)</f>
        <v>Asian</v>
      </c>
      <c r="H97">
        <f>VLOOKUP(E97, menu_items!A:D,4,0)</f>
        <v>17.95</v>
      </c>
      <c r="I97">
        <f t="shared" si="4"/>
        <v>17.95</v>
      </c>
      <c r="J97" t="str">
        <f t="shared" si="5"/>
        <v>Apr</v>
      </c>
      <c r="K97" t="str">
        <f t="shared" si="6"/>
        <v>Wednesday</v>
      </c>
      <c r="L97">
        <f t="shared" si="7"/>
        <v>17</v>
      </c>
    </row>
    <row r="98" spans="1:12" x14ac:dyDescent="0.3">
      <c r="A98">
        <v>96</v>
      </c>
      <c r="B98">
        <v>39</v>
      </c>
      <c r="C98" s="1">
        <v>45022</v>
      </c>
      <c r="D98" s="3">
        <v>0.71346064814814814</v>
      </c>
      <c r="E98">
        <v>117</v>
      </c>
      <c r="F98" t="s">
        <v>16</v>
      </c>
      <c r="G98" t="str">
        <f>VLOOKUP(E98,menu_items!A:C,3,0)</f>
        <v>Mexican</v>
      </c>
      <c r="H98">
        <f>VLOOKUP(E98, menu_items!A:D,4,0)</f>
        <v>12.95</v>
      </c>
      <c r="I98">
        <f t="shared" si="4"/>
        <v>12.95</v>
      </c>
      <c r="J98" t="str">
        <f t="shared" si="5"/>
        <v>Apr</v>
      </c>
      <c r="K98" t="str">
        <f t="shared" si="6"/>
        <v>Thursday</v>
      </c>
      <c r="L98">
        <f t="shared" si="7"/>
        <v>17</v>
      </c>
    </row>
    <row r="99" spans="1:12" x14ac:dyDescent="0.3">
      <c r="A99">
        <v>97</v>
      </c>
      <c r="B99">
        <v>40</v>
      </c>
      <c r="C99" s="1">
        <v>45023</v>
      </c>
      <c r="D99" s="3">
        <v>0.71847222222222218</v>
      </c>
      <c r="E99">
        <v>125</v>
      </c>
      <c r="F99" t="s">
        <v>34</v>
      </c>
      <c r="G99" t="str">
        <f>VLOOKUP(E99,menu_items!A:C,3,0)</f>
        <v>Italian</v>
      </c>
      <c r="H99">
        <f>VLOOKUP(E99, menu_items!A:D,4,0)</f>
        <v>17.95</v>
      </c>
      <c r="I99">
        <f t="shared" si="4"/>
        <v>17.95</v>
      </c>
      <c r="J99" t="str">
        <f t="shared" si="5"/>
        <v>Apr</v>
      </c>
      <c r="K99" t="str">
        <f t="shared" si="6"/>
        <v>Friday</v>
      </c>
      <c r="L99">
        <f t="shared" si="7"/>
        <v>17</v>
      </c>
    </row>
    <row r="100" spans="1:12" x14ac:dyDescent="0.3">
      <c r="A100">
        <v>98</v>
      </c>
      <c r="B100">
        <v>40</v>
      </c>
      <c r="C100" s="1">
        <v>45024</v>
      </c>
      <c r="D100" s="3">
        <v>0.71847222222222218</v>
      </c>
      <c r="E100">
        <v>105</v>
      </c>
      <c r="F100" t="s">
        <v>28</v>
      </c>
      <c r="G100" t="str">
        <f>VLOOKUP(E100,menu_items!A:C,3,0)</f>
        <v>American</v>
      </c>
      <c r="H100">
        <f>VLOOKUP(E100, menu_items!A:D,4,0)</f>
        <v>7</v>
      </c>
      <c r="I100">
        <f t="shared" si="4"/>
        <v>7</v>
      </c>
      <c r="J100" t="str">
        <f t="shared" si="5"/>
        <v>Apr</v>
      </c>
      <c r="K100" t="str">
        <f t="shared" si="6"/>
        <v>Saturday</v>
      </c>
      <c r="L100">
        <f t="shared" si="7"/>
        <v>17</v>
      </c>
    </row>
    <row r="101" spans="1:12" x14ac:dyDescent="0.3">
      <c r="A101">
        <v>99</v>
      </c>
      <c r="B101">
        <v>41</v>
      </c>
      <c r="C101" s="1">
        <v>45025</v>
      </c>
      <c r="D101" s="3">
        <v>0.71898148148148144</v>
      </c>
      <c r="E101">
        <v>125</v>
      </c>
      <c r="F101" t="s">
        <v>34</v>
      </c>
      <c r="G101" t="str">
        <f>VLOOKUP(E101,menu_items!A:C,3,0)</f>
        <v>Italian</v>
      </c>
      <c r="H101">
        <f>VLOOKUP(E101, menu_items!A:D,4,0)</f>
        <v>17.95</v>
      </c>
      <c r="I101">
        <f t="shared" si="4"/>
        <v>17.95</v>
      </c>
      <c r="J101" t="str">
        <f t="shared" si="5"/>
        <v>Apr</v>
      </c>
      <c r="K101" t="str">
        <f t="shared" si="6"/>
        <v>Sunday</v>
      </c>
      <c r="L101">
        <f t="shared" si="7"/>
        <v>17</v>
      </c>
    </row>
    <row r="102" spans="1:12" x14ac:dyDescent="0.3">
      <c r="A102">
        <v>100</v>
      </c>
      <c r="B102">
        <v>41</v>
      </c>
      <c r="C102" s="1">
        <v>45026</v>
      </c>
      <c r="D102" s="3">
        <v>0.71898148148148144</v>
      </c>
      <c r="E102">
        <v>126</v>
      </c>
      <c r="F102" t="s">
        <v>23</v>
      </c>
      <c r="G102" t="str">
        <f>VLOOKUP(E102,menu_items!A:C,3,0)</f>
        <v>Italian</v>
      </c>
      <c r="H102">
        <f>VLOOKUP(E102, menu_items!A:D,4,0)</f>
        <v>14.5</v>
      </c>
      <c r="I102">
        <f t="shared" si="4"/>
        <v>14.5</v>
      </c>
      <c r="J102" t="str">
        <f t="shared" si="5"/>
        <v>Apr</v>
      </c>
      <c r="K102" t="str">
        <f t="shared" si="6"/>
        <v>Monday</v>
      </c>
      <c r="L102">
        <f t="shared" si="7"/>
        <v>17</v>
      </c>
    </row>
    <row r="103" spans="1:12" x14ac:dyDescent="0.3">
      <c r="A103">
        <v>101</v>
      </c>
      <c r="B103">
        <v>42</v>
      </c>
      <c r="C103" s="1">
        <v>45027</v>
      </c>
      <c r="D103" s="3">
        <v>0.72788194444444443</v>
      </c>
      <c r="E103">
        <v>107</v>
      </c>
      <c r="F103" t="s">
        <v>32</v>
      </c>
      <c r="G103" t="str">
        <f>VLOOKUP(E103,menu_items!A:C,3,0)</f>
        <v>Asian</v>
      </c>
      <c r="H103">
        <f>VLOOKUP(E103, menu_items!A:D,4,0)</f>
        <v>16.5</v>
      </c>
      <c r="I103">
        <f t="shared" si="4"/>
        <v>16.5</v>
      </c>
      <c r="J103" t="str">
        <f t="shared" si="5"/>
        <v>Apr</v>
      </c>
      <c r="K103" t="str">
        <f t="shared" si="6"/>
        <v>Tuesday</v>
      </c>
      <c r="L103">
        <f t="shared" si="7"/>
        <v>17</v>
      </c>
    </row>
    <row r="104" spans="1:12" x14ac:dyDescent="0.3">
      <c r="A104">
        <v>102</v>
      </c>
      <c r="B104">
        <v>42</v>
      </c>
      <c r="C104" s="1">
        <v>45028</v>
      </c>
      <c r="D104" s="3">
        <v>0.72788194444444443</v>
      </c>
      <c r="E104">
        <v>124</v>
      </c>
      <c r="F104" t="s">
        <v>15</v>
      </c>
      <c r="G104" t="str">
        <f>VLOOKUP(E104,menu_items!A:C,3,0)</f>
        <v>Italian</v>
      </c>
      <c r="H104">
        <f>VLOOKUP(E104, menu_items!A:D,4,0)</f>
        <v>14.5</v>
      </c>
      <c r="I104">
        <f t="shared" si="4"/>
        <v>14.5</v>
      </c>
      <c r="J104" t="str">
        <f t="shared" si="5"/>
        <v>Apr</v>
      </c>
      <c r="K104" t="str">
        <f t="shared" si="6"/>
        <v>Wednesday</v>
      </c>
      <c r="L104">
        <f t="shared" si="7"/>
        <v>17</v>
      </c>
    </row>
    <row r="105" spans="1:12" x14ac:dyDescent="0.3">
      <c r="A105">
        <v>103</v>
      </c>
      <c r="B105">
        <v>42</v>
      </c>
      <c r="C105" s="1">
        <v>45029</v>
      </c>
      <c r="D105" s="3">
        <v>0.72788194444444443</v>
      </c>
      <c r="E105">
        <v>129</v>
      </c>
      <c r="F105" t="s">
        <v>17</v>
      </c>
      <c r="G105" t="str">
        <f>VLOOKUP(E105,menu_items!A:C,3,0)</f>
        <v>Italian</v>
      </c>
      <c r="H105">
        <f>VLOOKUP(E105, menu_items!A:D,4,0)</f>
        <v>15.5</v>
      </c>
      <c r="I105">
        <f t="shared" si="4"/>
        <v>15.5</v>
      </c>
      <c r="J105" t="str">
        <f t="shared" si="5"/>
        <v>Apr</v>
      </c>
      <c r="K105" t="str">
        <f t="shared" si="6"/>
        <v>Thursday</v>
      </c>
      <c r="L105">
        <f t="shared" si="7"/>
        <v>17</v>
      </c>
    </row>
    <row r="106" spans="1:12" x14ac:dyDescent="0.3">
      <c r="A106">
        <v>104</v>
      </c>
      <c r="B106">
        <v>42</v>
      </c>
      <c r="C106" s="1">
        <v>45030</v>
      </c>
      <c r="D106" s="3">
        <v>0.72788194444444443</v>
      </c>
      <c r="E106">
        <v>118</v>
      </c>
      <c r="F106" t="s">
        <v>39</v>
      </c>
      <c r="G106" t="str">
        <f>VLOOKUP(E106,menu_items!A:C,3,0)</f>
        <v>Mexican</v>
      </c>
      <c r="H106">
        <f>VLOOKUP(E106, menu_items!A:D,4,0)</f>
        <v>14.95</v>
      </c>
      <c r="I106">
        <f t="shared" si="4"/>
        <v>14.95</v>
      </c>
      <c r="J106" t="str">
        <f t="shared" si="5"/>
        <v>Apr</v>
      </c>
      <c r="K106" t="str">
        <f t="shared" si="6"/>
        <v>Friday</v>
      </c>
      <c r="L106">
        <f t="shared" si="7"/>
        <v>17</v>
      </c>
    </row>
    <row r="107" spans="1:12" x14ac:dyDescent="0.3">
      <c r="A107">
        <v>105</v>
      </c>
      <c r="B107">
        <v>43</v>
      </c>
      <c r="C107" s="1">
        <v>45031</v>
      </c>
      <c r="D107" s="3">
        <v>0.73511574074074071</v>
      </c>
      <c r="E107">
        <v>103</v>
      </c>
      <c r="F107" t="s">
        <v>42</v>
      </c>
      <c r="G107" t="str">
        <f>VLOOKUP(E107,menu_items!A:C,3,0)</f>
        <v>American</v>
      </c>
      <c r="H107">
        <f>VLOOKUP(E107, menu_items!A:D,4,0)</f>
        <v>9</v>
      </c>
      <c r="I107">
        <f t="shared" si="4"/>
        <v>9</v>
      </c>
      <c r="J107" t="str">
        <f t="shared" si="5"/>
        <v>Apr</v>
      </c>
      <c r="K107" t="str">
        <f t="shared" si="6"/>
        <v>Saturday</v>
      </c>
      <c r="L107">
        <f t="shared" si="7"/>
        <v>17</v>
      </c>
    </row>
    <row r="108" spans="1:12" x14ac:dyDescent="0.3">
      <c r="A108">
        <v>106</v>
      </c>
      <c r="B108">
        <v>43</v>
      </c>
      <c r="C108" s="1">
        <v>45032</v>
      </c>
      <c r="D108" s="3">
        <v>0.73511574074074071</v>
      </c>
      <c r="E108">
        <v>117</v>
      </c>
      <c r="F108" t="s">
        <v>16</v>
      </c>
      <c r="G108" t="str">
        <f>VLOOKUP(E108,menu_items!A:C,3,0)</f>
        <v>Mexican</v>
      </c>
      <c r="H108">
        <f>VLOOKUP(E108, menu_items!A:D,4,0)</f>
        <v>12.95</v>
      </c>
      <c r="I108">
        <f t="shared" si="4"/>
        <v>12.95</v>
      </c>
      <c r="J108" t="str">
        <f t="shared" si="5"/>
        <v>Apr</v>
      </c>
      <c r="K108" t="str">
        <f t="shared" si="6"/>
        <v>Sunday</v>
      </c>
      <c r="L108">
        <f t="shared" si="7"/>
        <v>17</v>
      </c>
    </row>
    <row r="109" spans="1:12" x14ac:dyDescent="0.3">
      <c r="A109">
        <v>107</v>
      </c>
      <c r="B109">
        <v>43</v>
      </c>
      <c r="C109" s="1">
        <v>45033</v>
      </c>
      <c r="D109" s="3">
        <v>0.73511574074074071</v>
      </c>
      <c r="E109">
        <v>118</v>
      </c>
      <c r="F109" t="s">
        <v>39</v>
      </c>
      <c r="G109" t="str">
        <f>VLOOKUP(E109,menu_items!A:C,3,0)</f>
        <v>Mexican</v>
      </c>
      <c r="H109">
        <f>VLOOKUP(E109, menu_items!A:D,4,0)</f>
        <v>14.95</v>
      </c>
      <c r="I109">
        <f t="shared" si="4"/>
        <v>14.95</v>
      </c>
      <c r="J109" t="str">
        <f t="shared" si="5"/>
        <v>Apr</v>
      </c>
      <c r="K109" t="str">
        <f t="shared" si="6"/>
        <v>Monday</v>
      </c>
      <c r="L109">
        <f t="shared" si="7"/>
        <v>17</v>
      </c>
    </row>
    <row r="110" spans="1:12" x14ac:dyDescent="0.3">
      <c r="A110">
        <v>108</v>
      </c>
      <c r="B110">
        <v>44</v>
      </c>
      <c r="C110" s="1">
        <v>45034</v>
      </c>
      <c r="D110" s="3">
        <v>0.74606481481481479</v>
      </c>
      <c r="E110">
        <v>130</v>
      </c>
      <c r="F110" t="s">
        <v>26</v>
      </c>
      <c r="G110" t="str">
        <f>VLOOKUP(E110,menu_items!A:C,3,0)</f>
        <v>Italian</v>
      </c>
      <c r="H110">
        <f>VLOOKUP(E110, menu_items!A:D,4,0)</f>
        <v>19.95</v>
      </c>
      <c r="I110">
        <f t="shared" si="4"/>
        <v>19.95</v>
      </c>
      <c r="J110" t="str">
        <f t="shared" si="5"/>
        <v>Apr</v>
      </c>
      <c r="K110" t="str">
        <f t="shared" si="6"/>
        <v>Tuesday</v>
      </c>
      <c r="L110">
        <f t="shared" si="7"/>
        <v>17</v>
      </c>
    </row>
    <row r="111" spans="1:12" x14ac:dyDescent="0.3">
      <c r="A111">
        <v>109</v>
      </c>
      <c r="B111">
        <v>45</v>
      </c>
      <c r="C111" s="1">
        <v>45035</v>
      </c>
      <c r="D111" s="3">
        <v>0.74708333333333332</v>
      </c>
      <c r="E111">
        <v>125</v>
      </c>
      <c r="F111" t="s">
        <v>34</v>
      </c>
      <c r="G111" t="str">
        <f>VLOOKUP(E111,menu_items!A:C,3,0)</f>
        <v>Italian</v>
      </c>
      <c r="H111">
        <f>VLOOKUP(E111, menu_items!A:D,4,0)</f>
        <v>17.95</v>
      </c>
      <c r="I111">
        <f t="shared" si="4"/>
        <v>17.95</v>
      </c>
      <c r="J111" t="str">
        <f t="shared" si="5"/>
        <v>Apr</v>
      </c>
      <c r="K111" t="str">
        <f t="shared" si="6"/>
        <v>Wednesday</v>
      </c>
      <c r="L111">
        <f t="shared" si="7"/>
        <v>17</v>
      </c>
    </row>
    <row r="112" spans="1:12" x14ac:dyDescent="0.3">
      <c r="A112">
        <v>110</v>
      </c>
      <c r="B112">
        <v>45</v>
      </c>
      <c r="C112" s="1">
        <v>45036</v>
      </c>
      <c r="D112" s="3">
        <v>0.74708333333333332</v>
      </c>
      <c r="E112">
        <v>109</v>
      </c>
      <c r="F112" t="s">
        <v>12</v>
      </c>
      <c r="G112" t="str">
        <f>VLOOKUP(E112,menu_items!A:C,3,0)</f>
        <v>Asian</v>
      </c>
      <c r="H112">
        <f>VLOOKUP(E112, menu_items!A:D,4,0)</f>
        <v>17.95</v>
      </c>
      <c r="I112">
        <f t="shared" si="4"/>
        <v>17.95</v>
      </c>
      <c r="J112" t="str">
        <f t="shared" si="5"/>
        <v>Apr</v>
      </c>
      <c r="K112" t="str">
        <f t="shared" si="6"/>
        <v>Thursday</v>
      </c>
      <c r="L112">
        <f t="shared" si="7"/>
        <v>17</v>
      </c>
    </row>
    <row r="113" spans="1:12" x14ac:dyDescent="0.3">
      <c r="A113">
        <v>111</v>
      </c>
      <c r="B113">
        <v>45</v>
      </c>
      <c r="C113" s="1">
        <v>45037</v>
      </c>
      <c r="D113" s="3">
        <v>0.74708333333333332</v>
      </c>
      <c r="E113">
        <v>106</v>
      </c>
      <c r="F113" t="s">
        <v>18</v>
      </c>
      <c r="G113" t="str">
        <f>VLOOKUP(E113,menu_items!A:C,3,0)</f>
        <v>American</v>
      </c>
      <c r="H113">
        <f>VLOOKUP(E113, menu_items!A:D,4,0)</f>
        <v>7</v>
      </c>
      <c r="I113">
        <f t="shared" si="4"/>
        <v>7</v>
      </c>
      <c r="J113" t="str">
        <f t="shared" si="5"/>
        <v>Apr</v>
      </c>
      <c r="K113" t="str">
        <f t="shared" si="6"/>
        <v>Friday</v>
      </c>
      <c r="L113">
        <f t="shared" si="7"/>
        <v>17</v>
      </c>
    </row>
    <row r="114" spans="1:12" x14ac:dyDescent="0.3">
      <c r="A114">
        <v>112</v>
      </c>
      <c r="B114">
        <v>46</v>
      </c>
      <c r="C114" s="1">
        <v>45038</v>
      </c>
      <c r="D114" s="3">
        <v>0.76795138888888892</v>
      </c>
      <c r="E114">
        <v>104</v>
      </c>
      <c r="F114" t="s">
        <v>31</v>
      </c>
      <c r="G114" t="str">
        <f>VLOOKUP(E114,menu_items!A:C,3,0)</f>
        <v>American</v>
      </c>
      <c r="H114">
        <f>VLOOKUP(E114, menu_items!A:D,4,0)</f>
        <v>10.5</v>
      </c>
      <c r="I114">
        <f t="shared" si="4"/>
        <v>10.5</v>
      </c>
      <c r="J114" t="str">
        <f t="shared" si="5"/>
        <v>Apr</v>
      </c>
      <c r="K114" t="str">
        <f t="shared" si="6"/>
        <v>Saturday</v>
      </c>
      <c r="L114">
        <f t="shared" si="7"/>
        <v>18</v>
      </c>
    </row>
    <row r="115" spans="1:12" x14ac:dyDescent="0.3">
      <c r="A115">
        <v>113</v>
      </c>
      <c r="B115">
        <v>46</v>
      </c>
      <c r="C115" s="1">
        <v>45039</v>
      </c>
      <c r="D115" s="3">
        <v>0.76795138888888892</v>
      </c>
      <c r="E115">
        <v>108</v>
      </c>
      <c r="F115" t="s">
        <v>14</v>
      </c>
      <c r="G115" t="str">
        <f>VLOOKUP(E115,menu_items!A:C,3,0)</f>
        <v>Asian</v>
      </c>
      <c r="H115">
        <f>VLOOKUP(E115, menu_items!A:D,4,0)</f>
        <v>14.5</v>
      </c>
      <c r="I115">
        <f t="shared" si="4"/>
        <v>14.5</v>
      </c>
      <c r="J115" t="str">
        <f t="shared" si="5"/>
        <v>Apr</v>
      </c>
      <c r="K115" t="str">
        <f t="shared" si="6"/>
        <v>Sunday</v>
      </c>
      <c r="L115">
        <f t="shared" si="7"/>
        <v>18</v>
      </c>
    </row>
    <row r="116" spans="1:12" x14ac:dyDescent="0.3">
      <c r="A116">
        <v>114</v>
      </c>
      <c r="B116">
        <v>46</v>
      </c>
      <c r="C116" s="1">
        <v>45040</v>
      </c>
      <c r="D116" s="3">
        <v>0.76795138888888892</v>
      </c>
      <c r="E116">
        <v>106</v>
      </c>
      <c r="F116" t="s">
        <v>18</v>
      </c>
      <c r="G116" t="str">
        <f>VLOOKUP(E116,menu_items!A:C,3,0)</f>
        <v>American</v>
      </c>
      <c r="H116">
        <f>VLOOKUP(E116, menu_items!A:D,4,0)</f>
        <v>7</v>
      </c>
      <c r="I116">
        <f t="shared" si="4"/>
        <v>7</v>
      </c>
      <c r="J116" t="str">
        <f t="shared" si="5"/>
        <v>Apr</v>
      </c>
      <c r="K116" t="str">
        <f t="shared" si="6"/>
        <v>Monday</v>
      </c>
      <c r="L116">
        <f t="shared" si="7"/>
        <v>18</v>
      </c>
    </row>
    <row r="117" spans="1:12" x14ac:dyDescent="0.3">
      <c r="A117">
        <v>115</v>
      </c>
      <c r="B117">
        <v>47</v>
      </c>
      <c r="C117" s="1">
        <v>45041</v>
      </c>
      <c r="D117" s="3">
        <v>0.76844907407407403</v>
      </c>
      <c r="E117">
        <v>105</v>
      </c>
      <c r="F117" t="s">
        <v>28</v>
      </c>
      <c r="G117" t="str">
        <f>VLOOKUP(E117,menu_items!A:C,3,0)</f>
        <v>American</v>
      </c>
      <c r="H117">
        <f>VLOOKUP(E117, menu_items!A:D,4,0)</f>
        <v>7</v>
      </c>
      <c r="I117">
        <f t="shared" si="4"/>
        <v>7</v>
      </c>
      <c r="J117" t="str">
        <f t="shared" si="5"/>
        <v>Apr</v>
      </c>
      <c r="K117" t="str">
        <f t="shared" si="6"/>
        <v>Tuesday</v>
      </c>
      <c r="L117">
        <f t="shared" si="7"/>
        <v>18</v>
      </c>
    </row>
    <row r="118" spans="1:12" x14ac:dyDescent="0.3">
      <c r="A118">
        <v>116</v>
      </c>
      <c r="B118">
        <v>47</v>
      </c>
      <c r="C118" s="1">
        <v>45042</v>
      </c>
      <c r="D118" s="3">
        <v>0.76844907407407403</v>
      </c>
      <c r="E118">
        <v>132</v>
      </c>
      <c r="F118" t="s">
        <v>27</v>
      </c>
      <c r="G118" t="str">
        <f>VLOOKUP(E118,menu_items!A:C,3,0)</f>
        <v>Italian</v>
      </c>
      <c r="H118">
        <f>VLOOKUP(E118, menu_items!A:D,4,0)</f>
        <v>16.95</v>
      </c>
      <c r="I118">
        <f t="shared" si="4"/>
        <v>16.95</v>
      </c>
      <c r="J118" t="str">
        <f t="shared" si="5"/>
        <v>Apr</v>
      </c>
      <c r="K118" t="str">
        <f t="shared" si="6"/>
        <v>Wednesday</v>
      </c>
      <c r="L118">
        <f t="shared" si="7"/>
        <v>18</v>
      </c>
    </row>
    <row r="119" spans="1:12" x14ac:dyDescent="0.3">
      <c r="A119">
        <v>117</v>
      </c>
      <c r="B119">
        <v>48</v>
      </c>
      <c r="C119" s="1">
        <v>45043</v>
      </c>
      <c r="D119" s="3">
        <v>0.76854166666666668</v>
      </c>
      <c r="E119">
        <v>104</v>
      </c>
      <c r="F119" t="s">
        <v>31</v>
      </c>
      <c r="G119" t="str">
        <f>VLOOKUP(E119,menu_items!A:C,3,0)</f>
        <v>American</v>
      </c>
      <c r="H119">
        <f>VLOOKUP(E119, menu_items!A:D,4,0)</f>
        <v>10.5</v>
      </c>
      <c r="I119">
        <f t="shared" si="4"/>
        <v>10.5</v>
      </c>
      <c r="J119" t="str">
        <f t="shared" si="5"/>
        <v>Apr</v>
      </c>
      <c r="K119" t="str">
        <f t="shared" si="6"/>
        <v>Thursday</v>
      </c>
      <c r="L119">
        <f t="shared" si="7"/>
        <v>18</v>
      </c>
    </row>
    <row r="120" spans="1:12" x14ac:dyDescent="0.3">
      <c r="A120">
        <v>118</v>
      </c>
      <c r="B120">
        <v>48</v>
      </c>
      <c r="C120" s="1">
        <v>45044</v>
      </c>
      <c r="D120" s="3">
        <v>0.76854166666666668</v>
      </c>
      <c r="E120">
        <v>126</v>
      </c>
      <c r="F120" t="s">
        <v>23</v>
      </c>
      <c r="G120" t="str">
        <f>VLOOKUP(E120,menu_items!A:C,3,0)</f>
        <v>Italian</v>
      </c>
      <c r="H120">
        <f>VLOOKUP(E120, menu_items!A:D,4,0)</f>
        <v>14.5</v>
      </c>
      <c r="I120">
        <f t="shared" si="4"/>
        <v>14.5</v>
      </c>
      <c r="J120" t="str">
        <f t="shared" si="5"/>
        <v>Apr</v>
      </c>
      <c r="K120" t="str">
        <f t="shared" si="6"/>
        <v>Friday</v>
      </c>
      <c r="L120">
        <f t="shared" si="7"/>
        <v>18</v>
      </c>
    </row>
    <row r="121" spans="1:12" x14ac:dyDescent="0.3">
      <c r="A121">
        <v>119</v>
      </c>
      <c r="B121">
        <v>48</v>
      </c>
      <c r="C121" s="1">
        <v>45045</v>
      </c>
      <c r="D121" s="3">
        <v>0.76854166666666668</v>
      </c>
      <c r="E121">
        <v>119</v>
      </c>
      <c r="F121" t="s">
        <v>19</v>
      </c>
      <c r="G121" t="str">
        <f>VLOOKUP(E121,menu_items!A:C,3,0)</f>
        <v>Mexican</v>
      </c>
      <c r="H121">
        <f>VLOOKUP(E121, menu_items!A:D,4,0)</f>
        <v>11.95</v>
      </c>
      <c r="I121">
        <f t="shared" si="4"/>
        <v>11.95</v>
      </c>
      <c r="J121" t="str">
        <f t="shared" si="5"/>
        <v>Apr</v>
      </c>
      <c r="K121" t="str">
        <f t="shared" si="6"/>
        <v>Saturday</v>
      </c>
      <c r="L121">
        <f t="shared" si="7"/>
        <v>18</v>
      </c>
    </row>
    <row r="122" spans="1:12" x14ac:dyDescent="0.3">
      <c r="A122">
        <v>120</v>
      </c>
      <c r="B122">
        <v>48</v>
      </c>
      <c r="C122" s="1">
        <v>45046</v>
      </c>
      <c r="D122" s="3">
        <v>0.76854166666666668</v>
      </c>
      <c r="E122">
        <v>122</v>
      </c>
      <c r="F122" t="s">
        <v>25</v>
      </c>
      <c r="G122" t="str">
        <f>VLOOKUP(E122,menu_items!A:C,3,0)</f>
        <v>Mexican</v>
      </c>
      <c r="H122">
        <f>VLOOKUP(E122, menu_items!A:D,4,0)</f>
        <v>7</v>
      </c>
      <c r="I122">
        <f t="shared" si="4"/>
        <v>7</v>
      </c>
      <c r="J122" t="str">
        <f t="shared" si="5"/>
        <v>Apr</v>
      </c>
      <c r="K122" t="str">
        <f t="shared" si="6"/>
        <v>Sunday</v>
      </c>
      <c r="L122">
        <f t="shared" si="7"/>
        <v>18</v>
      </c>
    </row>
    <row r="123" spans="1:12" x14ac:dyDescent="0.3">
      <c r="A123">
        <v>121</v>
      </c>
      <c r="B123">
        <v>49</v>
      </c>
      <c r="C123" s="1">
        <v>45047</v>
      </c>
      <c r="D123" s="3">
        <v>0.7729166666666667</v>
      </c>
      <c r="E123">
        <v>120</v>
      </c>
      <c r="F123" t="s">
        <v>41</v>
      </c>
      <c r="G123" t="str">
        <f>VLOOKUP(E123,menu_items!A:C,3,0)</f>
        <v>Mexican</v>
      </c>
      <c r="H123">
        <f>VLOOKUP(E123, menu_items!A:D,4,0)</f>
        <v>13.95</v>
      </c>
      <c r="I123">
        <f t="shared" si="4"/>
        <v>13.95</v>
      </c>
      <c r="J123" t="str">
        <f t="shared" si="5"/>
        <v>May</v>
      </c>
      <c r="K123" t="str">
        <f t="shared" si="6"/>
        <v>Monday</v>
      </c>
      <c r="L123">
        <f t="shared" si="7"/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1A0F-CD3A-456A-8D4C-449B8477CED1}">
  <dimension ref="A1:B14"/>
  <sheetViews>
    <sheetView workbookViewId="0">
      <selection activeCell="A2" sqref="A2"/>
    </sheetView>
  </sheetViews>
  <sheetFormatPr defaultRowHeight="14.4" x14ac:dyDescent="0.3"/>
  <cols>
    <col min="1" max="1" width="37.44140625" customWidth="1"/>
    <col min="2" max="2" width="27.21875" customWidth="1"/>
  </cols>
  <sheetData>
    <row r="1" spans="1:2" ht="21" x14ac:dyDescent="0.4">
      <c r="B1" s="14" t="s">
        <v>58</v>
      </c>
    </row>
    <row r="2" spans="1:2" ht="15.6" x14ac:dyDescent="0.3">
      <c r="A2" s="13" t="s">
        <v>59</v>
      </c>
    </row>
    <row r="3" spans="1:2" x14ac:dyDescent="0.3">
      <c r="A3" s="5" t="s">
        <v>52</v>
      </c>
      <c r="B3" t="s">
        <v>54</v>
      </c>
    </row>
    <row r="4" spans="1:2" x14ac:dyDescent="0.3">
      <c r="A4" s="6" t="s">
        <v>16</v>
      </c>
      <c r="B4">
        <v>12</v>
      </c>
    </row>
    <row r="5" spans="1:2" x14ac:dyDescent="0.3">
      <c r="A5" s="6" t="s">
        <v>23</v>
      </c>
      <c r="B5">
        <v>7</v>
      </c>
    </row>
    <row r="6" spans="1:2" x14ac:dyDescent="0.3">
      <c r="A6" s="6" t="s">
        <v>18</v>
      </c>
      <c r="B6">
        <v>7</v>
      </c>
    </row>
    <row r="7" spans="1:2" x14ac:dyDescent="0.3">
      <c r="A7" s="6" t="s">
        <v>20</v>
      </c>
      <c r="B7">
        <v>7</v>
      </c>
    </row>
    <row r="8" spans="1:2" x14ac:dyDescent="0.3">
      <c r="A8" s="6" t="s">
        <v>28</v>
      </c>
      <c r="B8">
        <v>5</v>
      </c>
    </row>
    <row r="9" spans="1:2" x14ac:dyDescent="0.3">
      <c r="A9" s="6" t="s">
        <v>17</v>
      </c>
      <c r="B9">
        <v>8</v>
      </c>
    </row>
    <row r="10" spans="1:2" x14ac:dyDescent="0.3">
      <c r="A10" s="6" t="s">
        <v>24</v>
      </c>
      <c r="B10">
        <v>7</v>
      </c>
    </row>
    <row r="11" spans="1:2" x14ac:dyDescent="0.3">
      <c r="A11" s="6" t="s">
        <v>15</v>
      </c>
      <c r="B11">
        <v>6</v>
      </c>
    </row>
    <row r="12" spans="1:2" x14ac:dyDescent="0.3">
      <c r="A12" s="6" t="s">
        <v>34</v>
      </c>
      <c r="B12">
        <v>5</v>
      </c>
    </row>
    <row r="13" spans="1:2" x14ac:dyDescent="0.3">
      <c r="A13" s="6" t="s">
        <v>14</v>
      </c>
      <c r="B13">
        <v>6</v>
      </c>
    </row>
    <row r="14" spans="1:2" x14ac:dyDescent="0.3">
      <c r="A14" s="6" t="s">
        <v>53</v>
      </c>
      <c r="B14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9ED-15E7-449F-9817-83BE53538E36}">
  <dimension ref="A1:B4"/>
  <sheetViews>
    <sheetView workbookViewId="0">
      <selection activeCell="A4" sqref="A4"/>
    </sheetView>
  </sheetViews>
  <sheetFormatPr defaultRowHeight="14.4" x14ac:dyDescent="0.3"/>
  <cols>
    <col min="1" max="1" width="39.33203125" customWidth="1"/>
    <col min="2" max="2" width="36.6640625" customWidth="1"/>
  </cols>
  <sheetData>
    <row r="1" spans="1:2" ht="21" x14ac:dyDescent="0.4">
      <c r="B1" s="15" t="s">
        <v>55</v>
      </c>
    </row>
    <row r="2" spans="1:2" ht="18" x14ac:dyDescent="0.35">
      <c r="A2" s="8" t="s">
        <v>56</v>
      </c>
    </row>
    <row r="3" spans="1:2" ht="15.6" x14ac:dyDescent="0.3">
      <c r="A3" s="11" t="s">
        <v>57</v>
      </c>
    </row>
    <row r="4" spans="1:2" x14ac:dyDescent="0.3">
      <c r="A4" s="7">
        <v>1604.0500000000018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1767-51E8-422C-81DC-3B45BB332EC4}">
  <dimension ref="A1:B35"/>
  <sheetViews>
    <sheetView tabSelected="1" workbookViewId="0">
      <selection activeCell="B1" sqref="B1"/>
    </sheetView>
  </sheetViews>
  <sheetFormatPr defaultRowHeight="14.4" x14ac:dyDescent="0.3"/>
  <cols>
    <col min="1" max="1" width="39.88671875" customWidth="1"/>
    <col min="2" max="2" width="22" customWidth="1"/>
  </cols>
  <sheetData>
    <row r="1" spans="1:2" ht="18" x14ac:dyDescent="0.35">
      <c r="B1" s="16" t="s">
        <v>60</v>
      </c>
    </row>
    <row r="2" spans="1:2" ht="18" x14ac:dyDescent="0.35">
      <c r="A2" s="8" t="s">
        <v>61</v>
      </c>
    </row>
    <row r="3" spans="1:2" x14ac:dyDescent="0.3">
      <c r="A3" s="5" t="s">
        <v>52</v>
      </c>
      <c r="B3" t="s">
        <v>54</v>
      </c>
    </row>
    <row r="4" spans="1:2" x14ac:dyDescent="0.3">
      <c r="A4" s="6" t="s">
        <v>35</v>
      </c>
      <c r="B4">
        <v>2</v>
      </c>
    </row>
    <row r="5" spans="1:2" x14ac:dyDescent="0.3">
      <c r="A5" s="6" t="s">
        <v>38</v>
      </c>
      <c r="B5">
        <v>1</v>
      </c>
    </row>
    <row r="6" spans="1:2" x14ac:dyDescent="0.3">
      <c r="A6" s="6" t="s">
        <v>33</v>
      </c>
      <c r="B6">
        <v>1</v>
      </c>
    </row>
    <row r="7" spans="1:2" x14ac:dyDescent="0.3">
      <c r="A7" s="6" t="s">
        <v>29</v>
      </c>
      <c r="B7">
        <v>4</v>
      </c>
    </row>
    <row r="8" spans="1:2" x14ac:dyDescent="0.3">
      <c r="A8" s="6" t="s">
        <v>16</v>
      </c>
      <c r="B8">
        <v>12</v>
      </c>
    </row>
    <row r="9" spans="1:2" x14ac:dyDescent="0.3">
      <c r="A9" s="6" t="s">
        <v>40</v>
      </c>
      <c r="B9">
        <v>2</v>
      </c>
    </row>
    <row r="10" spans="1:2" x14ac:dyDescent="0.3">
      <c r="A10" s="6" t="s">
        <v>19</v>
      </c>
      <c r="B10">
        <v>3</v>
      </c>
    </row>
    <row r="11" spans="1:2" x14ac:dyDescent="0.3">
      <c r="A11" s="6" t="s">
        <v>22</v>
      </c>
      <c r="B11">
        <v>2</v>
      </c>
    </row>
    <row r="12" spans="1:2" x14ac:dyDescent="0.3">
      <c r="A12" s="6" t="s">
        <v>25</v>
      </c>
      <c r="B12">
        <v>2</v>
      </c>
    </row>
    <row r="13" spans="1:2" x14ac:dyDescent="0.3">
      <c r="A13" s="6" t="s">
        <v>30</v>
      </c>
      <c r="B13">
        <v>4</v>
      </c>
    </row>
    <row r="14" spans="1:2" x14ac:dyDescent="0.3">
      <c r="A14" s="6" t="s">
        <v>27</v>
      </c>
      <c r="B14">
        <v>3</v>
      </c>
    </row>
    <row r="15" spans="1:2" x14ac:dyDescent="0.3">
      <c r="A15" s="6" t="s">
        <v>23</v>
      </c>
      <c r="B15">
        <v>7</v>
      </c>
    </row>
    <row r="16" spans="1:2" x14ac:dyDescent="0.3">
      <c r="A16" s="6" t="s">
        <v>18</v>
      </c>
      <c r="B16">
        <v>7</v>
      </c>
    </row>
    <row r="17" spans="1:2" x14ac:dyDescent="0.3">
      <c r="A17" s="6" t="s">
        <v>20</v>
      </c>
      <c r="B17">
        <v>7</v>
      </c>
    </row>
    <row r="18" spans="1:2" x14ac:dyDescent="0.3">
      <c r="A18" s="6" t="s">
        <v>42</v>
      </c>
      <c r="B18">
        <v>2</v>
      </c>
    </row>
    <row r="19" spans="1:2" x14ac:dyDescent="0.3">
      <c r="A19" s="6" t="s">
        <v>12</v>
      </c>
      <c r="B19">
        <v>3</v>
      </c>
    </row>
    <row r="20" spans="1:2" x14ac:dyDescent="0.3">
      <c r="A20" s="6" t="s">
        <v>28</v>
      </c>
      <c r="B20">
        <v>5</v>
      </c>
    </row>
    <row r="21" spans="1:2" x14ac:dyDescent="0.3">
      <c r="A21" s="6" t="s">
        <v>37</v>
      </c>
      <c r="B21">
        <v>1</v>
      </c>
    </row>
    <row r="22" spans="1:2" x14ac:dyDescent="0.3">
      <c r="A22" s="6" t="s">
        <v>17</v>
      </c>
      <c r="B22">
        <v>8</v>
      </c>
    </row>
    <row r="23" spans="1:2" x14ac:dyDescent="0.3">
      <c r="A23" s="6" t="s">
        <v>32</v>
      </c>
      <c r="B23">
        <v>4</v>
      </c>
    </row>
    <row r="24" spans="1:2" x14ac:dyDescent="0.3">
      <c r="A24" s="6" t="s">
        <v>24</v>
      </c>
      <c r="B24">
        <v>7</v>
      </c>
    </row>
    <row r="25" spans="1:2" x14ac:dyDescent="0.3">
      <c r="A25" s="6" t="s">
        <v>21</v>
      </c>
      <c r="B25">
        <v>4</v>
      </c>
    </row>
    <row r="26" spans="1:2" x14ac:dyDescent="0.3">
      <c r="A26" s="6" t="s">
        <v>43</v>
      </c>
      <c r="B26">
        <v>1</v>
      </c>
    </row>
    <row r="27" spans="1:2" x14ac:dyDescent="0.3">
      <c r="A27" s="6" t="s">
        <v>26</v>
      </c>
      <c r="B27">
        <v>2</v>
      </c>
    </row>
    <row r="28" spans="1:2" x14ac:dyDescent="0.3">
      <c r="A28" s="6" t="s">
        <v>15</v>
      </c>
      <c r="B28">
        <v>6</v>
      </c>
    </row>
    <row r="29" spans="1:2" x14ac:dyDescent="0.3">
      <c r="A29" s="6" t="s">
        <v>34</v>
      </c>
      <c r="B29">
        <v>5</v>
      </c>
    </row>
    <row r="30" spans="1:2" x14ac:dyDescent="0.3">
      <c r="A30" s="6" t="s">
        <v>39</v>
      </c>
      <c r="B30">
        <v>3</v>
      </c>
    </row>
    <row r="31" spans="1:2" x14ac:dyDescent="0.3">
      <c r="A31" s="6" t="s">
        <v>36</v>
      </c>
      <c r="B31">
        <v>1</v>
      </c>
    </row>
    <row r="32" spans="1:2" x14ac:dyDescent="0.3">
      <c r="A32" s="6" t="s">
        <v>41</v>
      </c>
      <c r="B32">
        <v>3</v>
      </c>
    </row>
    <row r="33" spans="1:2" x14ac:dyDescent="0.3">
      <c r="A33" s="6" t="s">
        <v>14</v>
      </c>
      <c r="B33">
        <v>6</v>
      </c>
    </row>
    <row r="34" spans="1:2" x14ac:dyDescent="0.3">
      <c r="A34" s="6" t="s">
        <v>31</v>
      </c>
      <c r="B34">
        <v>3</v>
      </c>
    </row>
    <row r="35" spans="1:2" x14ac:dyDescent="0.3">
      <c r="A35" s="6" t="s">
        <v>53</v>
      </c>
      <c r="B35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C9DC-B421-40F7-B3DF-14A2F7D0E782}">
  <dimension ref="A1:B14"/>
  <sheetViews>
    <sheetView workbookViewId="0">
      <selection activeCell="A2" sqref="A2"/>
    </sheetView>
  </sheetViews>
  <sheetFormatPr defaultRowHeight="14.4" x14ac:dyDescent="0.3"/>
  <cols>
    <col min="1" max="1" width="54.5546875" customWidth="1"/>
    <col min="2" max="2" width="30.21875" customWidth="1"/>
  </cols>
  <sheetData>
    <row r="1" spans="1:2" ht="21" x14ac:dyDescent="0.4">
      <c r="B1" s="9" t="s">
        <v>62</v>
      </c>
    </row>
    <row r="2" spans="1:2" ht="21" x14ac:dyDescent="0.4">
      <c r="A2" s="12" t="s">
        <v>63</v>
      </c>
    </row>
    <row r="3" spans="1:2" x14ac:dyDescent="0.3">
      <c r="A3" s="5" t="s">
        <v>52</v>
      </c>
      <c r="B3" t="s">
        <v>57</v>
      </c>
    </row>
    <row r="4" spans="1:2" x14ac:dyDescent="0.3">
      <c r="A4" s="6" t="s">
        <v>29</v>
      </c>
      <c r="B4">
        <v>55.8</v>
      </c>
    </row>
    <row r="5" spans="1:2" x14ac:dyDescent="0.3">
      <c r="A5" s="6" t="s">
        <v>16</v>
      </c>
      <c r="B5">
        <v>155.39999999999998</v>
      </c>
    </row>
    <row r="6" spans="1:2" x14ac:dyDescent="0.3">
      <c r="A6" s="6" t="s">
        <v>23</v>
      </c>
      <c r="B6">
        <v>101.5</v>
      </c>
    </row>
    <row r="7" spans="1:2" x14ac:dyDescent="0.3">
      <c r="A7" s="6" t="s">
        <v>20</v>
      </c>
      <c r="B7">
        <v>90.65</v>
      </c>
    </row>
    <row r="8" spans="1:2" x14ac:dyDescent="0.3">
      <c r="A8" s="6" t="s">
        <v>17</v>
      </c>
      <c r="B8">
        <v>124</v>
      </c>
    </row>
    <row r="9" spans="1:2" x14ac:dyDescent="0.3">
      <c r="A9" s="6" t="s">
        <v>32</v>
      </c>
      <c r="B9">
        <v>66</v>
      </c>
    </row>
    <row r="10" spans="1:2" x14ac:dyDescent="0.3">
      <c r="A10" s="6" t="s">
        <v>24</v>
      </c>
      <c r="B10">
        <v>125.65</v>
      </c>
    </row>
    <row r="11" spans="1:2" x14ac:dyDescent="0.3">
      <c r="A11" s="6" t="s">
        <v>15</v>
      </c>
      <c r="B11">
        <v>87</v>
      </c>
    </row>
    <row r="12" spans="1:2" x14ac:dyDescent="0.3">
      <c r="A12" s="6" t="s">
        <v>34</v>
      </c>
      <c r="B12">
        <v>89.75</v>
      </c>
    </row>
    <row r="13" spans="1:2" x14ac:dyDescent="0.3">
      <c r="A13" s="6" t="s">
        <v>14</v>
      </c>
      <c r="B13">
        <v>87</v>
      </c>
    </row>
    <row r="14" spans="1:2" x14ac:dyDescent="0.3">
      <c r="A14" s="6" t="s">
        <v>53</v>
      </c>
      <c r="B14">
        <v>982.75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44EB-74D7-41C8-A22F-B368B9AC8CA0}">
  <dimension ref="A1:B8"/>
  <sheetViews>
    <sheetView workbookViewId="0">
      <selection activeCell="B22" sqref="B22"/>
    </sheetView>
  </sheetViews>
  <sheetFormatPr defaultRowHeight="14.4" x14ac:dyDescent="0.3"/>
  <cols>
    <col min="1" max="1" width="50.109375" customWidth="1"/>
    <col min="2" max="2" width="23.21875" customWidth="1"/>
  </cols>
  <sheetData>
    <row r="1" spans="1:2" ht="18" x14ac:dyDescent="0.35">
      <c r="B1" s="16" t="s">
        <v>64</v>
      </c>
    </row>
    <row r="2" spans="1:2" ht="15.6" x14ac:dyDescent="0.3">
      <c r="A2" s="10" t="s">
        <v>81</v>
      </c>
    </row>
    <row r="3" spans="1:2" x14ac:dyDescent="0.3">
      <c r="A3" s="5" t="s">
        <v>52</v>
      </c>
      <c r="B3" t="s">
        <v>57</v>
      </c>
    </row>
    <row r="4" spans="1:2" x14ac:dyDescent="0.3">
      <c r="A4" s="6" t="s">
        <v>47</v>
      </c>
      <c r="B4">
        <v>279.94999999999993</v>
      </c>
    </row>
    <row r="5" spans="1:2" x14ac:dyDescent="0.3">
      <c r="A5" s="6" t="s">
        <v>13</v>
      </c>
      <c r="B5">
        <v>427.34999999999991</v>
      </c>
    </row>
    <row r="6" spans="1:2" x14ac:dyDescent="0.3">
      <c r="A6" s="6" t="s">
        <v>44</v>
      </c>
      <c r="B6">
        <v>562.35</v>
      </c>
    </row>
    <row r="7" spans="1:2" x14ac:dyDescent="0.3">
      <c r="A7" s="6" t="s">
        <v>45</v>
      </c>
      <c r="B7">
        <v>334.39999999999986</v>
      </c>
    </row>
    <row r="8" spans="1:2" x14ac:dyDescent="0.3">
      <c r="A8" s="6" t="s">
        <v>53</v>
      </c>
      <c r="B8">
        <v>1604.0499999999997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37BC-0D78-41B8-9473-36AB94E8DC94}">
  <dimension ref="A1:B9"/>
  <sheetViews>
    <sheetView workbookViewId="0">
      <selection activeCell="B1" sqref="B1"/>
    </sheetView>
  </sheetViews>
  <sheetFormatPr defaultRowHeight="14.4" x14ac:dyDescent="0.3"/>
  <cols>
    <col min="1" max="1" width="39.88671875" customWidth="1"/>
    <col min="2" max="2" width="22.6640625" customWidth="1"/>
  </cols>
  <sheetData>
    <row r="1" spans="1:2" ht="18" x14ac:dyDescent="0.35">
      <c r="B1" s="16" t="s">
        <v>65</v>
      </c>
    </row>
    <row r="2" spans="1:2" ht="15.6" x14ac:dyDescent="0.3">
      <c r="A2" s="10" t="s">
        <v>66</v>
      </c>
    </row>
    <row r="3" spans="1:2" x14ac:dyDescent="0.3">
      <c r="A3" s="5" t="s">
        <v>52</v>
      </c>
      <c r="B3" t="s">
        <v>57</v>
      </c>
    </row>
    <row r="4" spans="1:2" x14ac:dyDescent="0.3">
      <c r="A4" s="6" t="s">
        <v>67</v>
      </c>
      <c r="B4">
        <v>401.64999999999992</v>
      </c>
    </row>
    <row r="5" spans="1:2" x14ac:dyDescent="0.3">
      <c r="A5" s="6" t="s">
        <v>68</v>
      </c>
      <c r="B5">
        <v>396.79999999999984</v>
      </c>
    </row>
    <row r="6" spans="1:2" x14ac:dyDescent="0.3">
      <c r="A6" s="6" t="s">
        <v>69</v>
      </c>
      <c r="B6">
        <v>381.34999999999991</v>
      </c>
    </row>
    <row r="7" spans="1:2" x14ac:dyDescent="0.3">
      <c r="A7" s="6" t="s">
        <v>70</v>
      </c>
      <c r="B7">
        <v>410.29999999999995</v>
      </c>
    </row>
    <row r="8" spans="1:2" x14ac:dyDescent="0.3">
      <c r="A8" s="6" t="s">
        <v>71</v>
      </c>
      <c r="B8">
        <v>13.95</v>
      </c>
    </row>
    <row r="9" spans="1:2" x14ac:dyDescent="0.3">
      <c r="A9" s="6" t="s">
        <v>53</v>
      </c>
      <c r="B9">
        <v>1604.0499999999997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0E7-9A16-472F-B28C-0F0128404989}">
  <dimension ref="A1:B11"/>
  <sheetViews>
    <sheetView workbookViewId="0">
      <selection activeCell="A2" sqref="A2"/>
    </sheetView>
  </sheetViews>
  <sheetFormatPr defaultRowHeight="14.4" x14ac:dyDescent="0.3"/>
  <cols>
    <col min="1" max="1" width="38.109375" customWidth="1"/>
    <col min="2" max="2" width="24.109375" customWidth="1"/>
  </cols>
  <sheetData>
    <row r="1" spans="1:2" ht="18" x14ac:dyDescent="0.35">
      <c r="B1" s="16" t="s">
        <v>72</v>
      </c>
    </row>
    <row r="2" spans="1:2" ht="15.6" x14ac:dyDescent="0.3">
      <c r="A2" s="10" t="s">
        <v>80</v>
      </c>
    </row>
    <row r="3" spans="1:2" x14ac:dyDescent="0.3">
      <c r="A3" s="5" t="s">
        <v>52</v>
      </c>
      <c r="B3" t="s">
        <v>57</v>
      </c>
    </row>
    <row r="4" spans="1:2" x14ac:dyDescent="0.3">
      <c r="A4" s="6" t="s">
        <v>73</v>
      </c>
      <c r="B4">
        <v>239.04999999999995</v>
      </c>
    </row>
    <row r="5" spans="1:2" x14ac:dyDescent="0.3">
      <c r="A5" s="6" t="s">
        <v>74</v>
      </c>
      <c r="B5">
        <v>250.6</v>
      </c>
    </row>
    <row r="6" spans="1:2" x14ac:dyDescent="0.3">
      <c r="A6" s="6" t="s">
        <v>75</v>
      </c>
      <c r="B6">
        <v>253.04999999999995</v>
      </c>
    </row>
    <row r="7" spans="1:2" x14ac:dyDescent="0.3">
      <c r="A7" s="6" t="s">
        <v>76</v>
      </c>
      <c r="B7">
        <v>226.44999999999996</v>
      </c>
    </row>
    <row r="8" spans="1:2" x14ac:dyDescent="0.3">
      <c r="A8" s="6" t="s">
        <v>77</v>
      </c>
      <c r="B8">
        <v>217.54999999999998</v>
      </c>
    </row>
    <row r="9" spans="1:2" x14ac:dyDescent="0.3">
      <c r="A9" s="6" t="s">
        <v>78</v>
      </c>
      <c r="B9">
        <v>213.59999999999997</v>
      </c>
    </row>
    <row r="10" spans="1:2" x14ac:dyDescent="0.3">
      <c r="A10" s="6" t="s">
        <v>79</v>
      </c>
      <c r="B10">
        <v>203.75</v>
      </c>
    </row>
    <row r="11" spans="1:2" x14ac:dyDescent="0.3">
      <c r="A11" s="6" t="s">
        <v>53</v>
      </c>
      <c r="B11">
        <v>1604.0499999999997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menu_items</vt:lpstr>
      <vt:lpstr>orders_details</vt:lpstr>
      <vt:lpstr>sales analysis</vt:lpstr>
      <vt:lpstr>top 10 selling products</vt:lpstr>
      <vt:lpstr>total revenue</vt:lpstr>
      <vt:lpstr>orders placed</vt:lpstr>
      <vt:lpstr>top 10 revenue generated</vt:lpstr>
      <vt:lpstr>revenue  by category</vt:lpstr>
      <vt:lpstr>monthly revenue trend</vt:lpstr>
      <vt:lpstr>orders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amit kumar</cp:lastModifiedBy>
  <dcterms:created xsi:type="dcterms:W3CDTF">2026-07-26T18:10:56Z</dcterms:created>
  <dcterms:modified xsi:type="dcterms:W3CDTF">2026-07-26T18:12:32Z</dcterms:modified>
</cp:coreProperties>
</file>